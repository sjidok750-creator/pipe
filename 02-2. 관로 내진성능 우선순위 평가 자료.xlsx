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현재_통합_문서" defaultThemeVersion="124226"/>
  <bookViews>
    <workbookView xWindow="28680" yWindow="-1485" windowWidth="29040" windowHeight="15840" activeTab="1"/>
  </bookViews>
  <sheets>
    <sheet name="내진 우선순위 자료" sheetId="4" r:id="rId1"/>
    <sheet name="내진 우선순위 결과표" sheetId="5" r:id="rId2"/>
  </sheets>
  <definedNames>
    <definedName name="_xlnm.Print_Area" localSheetId="1">'내진 우선순위 결과표'!$A$1:$U$5</definedName>
    <definedName name="_xlnm.Print_Area" localSheetId="0">'내진 우선순위 자료'!$A$1:$Q$5</definedName>
    <definedName name="_xlnm.Print_Titles" localSheetId="1">'내진 우선순위 결과표'!$1:$4</definedName>
    <definedName name="_xlnm.Print_Titles" localSheetId="0">'내진 우선순위 자료'!$1:$4</definedName>
    <definedName name="삼천포종점" localSheetId="1">#REF!</definedName>
    <definedName name="삼천포종점">#REF!</definedName>
    <definedName name="서포종점" localSheetId="1">#REF!</definedName>
    <definedName name="서포종점">#REF!</definedName>
    <definedName name="원수종점" localSheetId="1">#REF!</definedName>
    <definedName name="원수종점">#REF!</definedName>
    <definedName name="충무종점" localSheetId="1">#REF!</definedName>
    <definedName name="충무종점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" i="5" l="1"/>
  <c r="P5" i="5" s="1"/>
  <c r="G5" i="5"/>
  <c r="O5" i="5" s="1"/>
  <c r="F5" i="5"/>
  <c r="K5" i="5" s="1"/>
  <c r="S5" i="5" s="1"/>
  <c r="AA12" i="5"/>
  <c r="AM5" i="5"/>
  <c r="AL5" i="5"/>
  <c r="AK5" i="5"/>
  <c r="AJ5" i="5"/>
  <c r="AI5" i="5"/>
  <c r="AH5" i="5"/>
  <c r="AE5" i="5"/>
  <c r="AD5" i="5"/>
  <c r="AC5" i="5"/>
  <c r="AA5" i="5" s="1"/>
  <c r="AB5" i="5"/>
  <c r="N5" i="5" l="1"/>
  <c r="M5" i="4"/>
  <c r="P5" i="4" l="1"/>
  <c r="O5" i="4"/>
  <c r="Q5" i="4" l="1"/>
  <c r="E5" i="5" s="1"/>
  <c r="M5" i="5" s="1"/>
  <c r="AF5" i="5" s="1"/>
  <c r="W12" i="4"/>
  <c r="AG5" i="5" l="1"/>
  <c r="T5" i="5"/>
  <c r="U5" i="5" s="1"/>
  <c r="AI5" i="4"/>
  <c r="AH5" i="4"/>
  <c r="AG5" i="4"/>
  <c r="AF5" i="4"/>
  <c r="AE5" i="4"/>
  <c r="AD5" i="4"/>
  <c r="AC5" i="4"/>
  <c r="AB5" i="4"/>
  <c r="X5" i="4"/>
  <c r="Y5" i="4" l="1"/>
  <c r="W5" i="4" s="1"/>
  <c r="Z5" i="4"/>
  <c r="AA5" i="4" l="1"/>
</calcChain>
</file>

<file path=xl/sharedStrings.xml><?xml version="1.0" encoding="utf-8"?>
<sst xmlns="http://schemas.openxmlformats.org/spreadsheetml/2006/main" count="101" uniqueCount="63">
  <si>
    <t>z</t>
    <phoneticPr fontId="3" type="noConversion"/>
  </si>
  <si>
    <t>R(cm)</t>
    <phoneticPr fontId="3" type="noConversion"/>
  </si>
  <si>
    <t>I</t>
    <phoneticPr fontId="3" type="noConversion"/>
  </si>
  <si>
    <t>FS</t>
    <phoneticPr fontId="3" type="noConversion"/>
  </si>
  <si>
    <t>B'</t>
    <phoneticPr fontId="3" type="noConversion"/>
  </si>
  <si>
    <r>
      <rPr>
        <sz val="8"/>
        <rFont val="굴림"/>
        <family val="3"/>
        <charset val="129"/>
      </rPr>
      <t>관로
계통</t>
    </r>
    <phoneticPr fontId="3" type="noConversion"/>
  </si>
  <si>
    <r>
      <rPr>
        <sz val="8"/>
        <rFont val="굴림"/>
        <family val="3"/>
        <charset val="129"/>
      </rPr>
      <t>관로
구간</t>
    </r>
    <phoneticPr fontId="3" type="noConversion"/>
  </si>
  <si>
    <r>
      <rPr>
        <sz val="8"/>
        <rFont val="굴림"/>
        <family val="3"/>
        <charset val="129"/>
      </rPr>
      <t>비고</t>
    </r>
    <phoneticPr fontId="3" type="noConversion"/>
  </si>
  <si>
    <r>
      <rPr>
        <sz val="8"/>
        <rFont val="굴림"/>
        <family val="3"/>
        <charset val="129"/>
      </rPr>
      <t>안전율</t>
    </r>
    <phoneticPr fontId="3" type="noConversion"/>
  </si>
  <si>
    <r>
      <rPr>
        <sz val="8"/>
        <rFont val="굴림"/>
        <family val="3"/>
        <charset val="129"/>
      </rPr>
      <t xml:space="preserve">관경
</t>
    </r>
    <r>
      <rPr>
        <sz val="8"/>
        <rFont val="Arial Narrow"/>
        <family val="2"/>
      </rPr>
      <t>(mm)</t>
    </r>
    <phoneticPr fontId="3" type="noConversion"/>
  </si>
  <si>
    <r>
      <rPr>
        <sz val="8"/>
        <rFont val="굴림"/>
        <family val="3"/>
        <charset val="129"/>
      </rPr>
      <t xml:space="preserve">관두께
</t>
    </r>
    <r>
      <rPr>
        <sz val="8"/>
        <rFont val="Arial Narrow"/>
        <family val="2"/>
      </rPr>
      <t>(mm)</t>
    </r>
    <phoneticPr fontId="3" type="noConversion"/>
  </si>
  <si>
    <r>
      <rPr>
        <sz val="8"/>
        <rFont val="굴림"/>
        <family val="3"/>
        <charset val="129"/>
      </rPr>
      <t>계산</t>
    </r>
    <r>
      <rPr>
        <sz val="8"/>
        <rFont val="Arial Narrow"/>
        <family val="2"/>
      </rPr>
      <t xml:space="preserve"> </t>
    </r>
    <r>
      <rPr>
        <sz val="8"/>
        <rFont val="굴림"/>
        <family val="3"/>
        <charset val="129"/>
      </rPr>
      <t>인자</t>
    </r>
    <phoneticPr fontId="3" type="noConversion"/>
  </si>
  <si>
    <r>
      <rPr>
        <sz val="8"/>
        <rFont val="굴림"/>
        <family val="3"/>
        <charset val="129"/>
      </rPr>
      <t>외압휨응력
안전여부</t>
    </r>
    <phoneticPr fontId="3" type="noConversion"/>
  </si>
  <si>
    <r>
      <rPr>
        <sz val="8"/>
        <rFont val="굴림"/>
        <family val="3"/>
        <charset val="129"/>
      </rPr>
      <t>내압휨응력</t>
    </r>
    <phoneticPr fontId="3" type="noConversion"/>
  </si>
  <si>
    <r>
      <rPr>
        <sz val="8"/>
        <rFont val="굴림"/>
        <family val="3"/>
        <charset val="129"/>
      </rPr>
      <t>외압휨응력</t>
    </r>
    <phoneticPr fontId="3" type="noConversion"/>
  </si>
  <si>
    <r>
      <rPr>
        <sz val="8"/>
        <rFont val="굴림"/>
        <family val="3"/>
        <charset val="129"/>
      </rPr>
      <t>외압변형률</t>
    </r>
    <phoneticPr fontId="3" type="noConversion"/>
  </si>
  <si>
    <r>
      <rPr>
        <sz val="8"/>
        <rFont val="굴림"/>
        <family val="3"/>
        <charset val="129"/>
      </rPr>
      <t>좌굴하중</t>
    </r>
    <phoneticPr fontId="3" type="noConversion"/>
  </si>
  <si>
    <r>
      <rPr>
        <sz val="8"/>
        <rFont val="굴림"/>
        <family val="3"/>
        <charset val="129"/>
      </rPr>
      <t xml:space="preserve">굽힘
모멘트계수
</t>
    </r>
    <r>
      <rPr>
        <sz val="8"/>
        <rFont val="Arial Narrow"/>
        <family val="2"/>
      </rPr>
      <t>(kb)</t>
    </r>
    <phoneticPr fontId="3" type="noConversion"/>
  </si>
  <si>
    <r>
      <rPr>
        <sz val="8"/>
        <rFont val="굴림"/>
        <family val="3"/>
        <charset val="129"/>
      </rPr>
      <t xml:space="preserve">수평
변형계수
</t>
    </r>
    <r>
      <rPr>
        <sz val="8"/>
        <rFont val="Arial Narrow"/>
        <family val="2"/>
      </rPr>
      <t>(Kx)</t>
    </r>
    <phoneticPr fontId="3" type="noConversion"/>
  </si>
  <si>
    <r>
      <rPr>
        <sz val="8"/>
        <rFont val="굴림"/>
        <family val="3"/>
        <charset val="129"/>
      </rPr>
      <t xml:space="preserve">굴착폭
</t>
    </r>
    <r>
      <rPr>
        <sz val="8"/>
        <rFont val="Arial Narrow"/>
        <family val="2"/>
      </rPr>
      <t>(cm)</t>
    </r>
    <phoneticPr fontId="3" type="noConversion"/>
  </si>
  <si>
    <r>
      <rPr>
        <sz val="8"/>
        <rFont val="굴림"/>
        <family val="3"/>
        <charset val="129"/>
      </rPr>
      <t>관리권</t>
    </r>
    <phoneticPr fontId="3" type="noConversion"/>
  </si>
  <si>
    <r>
      <rPr>
        <sz val="8"/>
        <rFont val="굴림"/>
        <family val="3"/>
        <charset val="129"/>
      </rPr>
      <t>세부
구간</t>
    </r>
    <phoneticPr fontId="3" type="noConversion"/>
  </si>
  <si>
    <r>
      <rPr>
        <sz val="8"/>
        <rFont val="굴림"/>
        <family val="3"/>
        <charset val="129"/>
      </rPr>
      <t>반력계수</t>
    </r>
    <r>
      <rPr>
        <sz val="8"/>
        <rFont val="Arial Narrow"/>
        <family val="2"/>
      </rPr>
      <t>E'</t>
    </r>
    <phoneticPr fontId="3" type="noConversion"/>
  </si>
  <si>
    <r>
      <rPr>
        <sz val="8"/>
        <rFont val="Arial Unicode MS"/>
        <family val="2"/>
        <charset val="129"/>
      </rPr>
      <t>적용</t>
    </r>
    <r>
      <rPr>
        <sz val="8"/>
        <rFont val="Arial Narrow"/>
        <family val="2"/>
      </rPr>
      <t xml:space="preserve"> </t>
    </r>
    <r>
      <rPr>
        <sz val="8"/>
        <rFont val="Arial Unicode MS"/>
        <family val="2"/>
        <charset val="129"/>
      </rPr>
      <t>지반조건</t>
    </r>
    <phoneticPr fontId="3" type="noConversion"/>
  </si>
  <si>
    <r>
      <rPr>
        <sz val="8"/>
        <rFont val="Arial Unicode MS"/>
        <family val="2"/>
        <charset val="129"/>
      </rPr>
      <t>매설년도</t>
    </r>
    <phoneticPr fontId="3" type="noConversion"/>
  </si>
  <si>
    <r>
      <rPr>
        <sz val="8"/>
        <rFont val="Arial Unicode MS"/>
        <family val="2"/>
        <charset val="129"/>
      </rPr>
      <t>최대토피고</t>
    </r>
    <phoneticPr fontId="3" type="noConversion"/>
  </si>
  <si>
    <t>차량</t>
    <phoneticPr fontId="3" type="noConversion"/>
  </si>
  <si>
    <t>01</t>
    <phoneticPr fontId="3" type="noConversion"/>
  </si>
  <si>
    <t>시점부 홍수위</t>
    <phoneticPr fontId="3" type="noConversion"/>
  </si>
  <si>
    <t>내진성능 우선순위 평가 자료</t>
    <phoneticPr fontId="3" type="noConversion"/>
  </si>
  <si>
    <t>지진도 등급 구분</t>
    <phoneticPr fontId="3" type="noConversion"/>
  </si>
  <si>
    <t>지진도등급</t>
    <phoneticPr fontId="3" type="noConversion"/>
  </si>
  <si>
    <t>FLEX 지수 산정</t>
    <phoneticPr fontId="3" type="noConversion"/>
  </si>
  <si>
    <t>배관두께
T(m)</t>
    <phoneticPr fontId="3" type="noConversion"/>
  </si>
  <si>
    <t>지수</t>
    <phoneticPr fontId="3" type="noConversion"/>
  </si>
  <si>
    <t>관종</t>
    <phoneticPr fontId="3" type="noConversion"/>
  </si>
  <si>
    <t>Ⅰ</t>
    <phoneticPr fontId="3" type="noConversion"/>
  </si>
  <si>
    <t>배관 탄성계수
E(Mpa)</t>
    <phoneticPr fontId="3" type="noConversion"/>
  </si>
  <si>
    <t>배관반경
R(m)</t>
    <phoneticPr fontId="3" type="noConversion"/>
  </si>
  <si>
    <t>배관 포아송비
V</t>
    <phoneticPr fontId="3" type="noConversion"/>
  </si>
  <si>
    <t>지반자료</t>
    <phoneticPr fontId="3" type="noConversion"/>
  </si>
  <si>
    <t>지반 탄성계수
E(Mpa)</t>
    <phoneticPr fontId="3" type="noConversion"/>
  </si>
  <si>
    <t>지반 포아송비
V</t>
    <phoneticPr fontId="3" type="noConversion"/>
  </si>
  <si>
    <t>내진성능 우선순위 평가 결과표</t>
    <phoneticPr fontId="3" type="noConversion"/>
  </si>
  <si>
    <t>FLEX</t>
    <phoneticPr fontId="3" type="noConversion"/>
  </si>
  <si>
    <t>KIND</t>
    <phoneticPr fontId="3" type="noConversion"/>
  </si>
  <si>
    <t>EARTH</t>
    <phoneticPr fontId="3" type="noConversion"/>
  </si>
  <si>
    <t>CONNECT</t>
    <phoneticPr fontId="3" type="noConversion"/>
  </si>
  <si>
    <t>FACIL</t>
    <phoneticPr fontId="3" type="noConversion"/>
  </si>
  <si>
    <t>MCONE</t>
    <phoneticPr fontId="3" type="noConversion"/>
  </si>
  <si>
    <t>취약도 지수</t>
    <phoneticPr fontId="3" type="noConversion"/>
  </si>
  <si>
    <t>VI</t>
    <phoneticPr fontId="3" type="noConversion"/>
  </si>
  <si>
    <t>양호</t>
    <phoneticPr fontId="3" type="noConversion"/>
  </si>
  <si>
    <t>있음</t>
    <phoneticPr fontId="3" type="noConversion"/>
  </si>
  <si>
    <t>SIZE</t>
    <phoneticPr fontId="3" type="noConversion"/>
  </si>
  <si>
    <t>지반
종류</t>
    <phoneticPr fontId="3" type="noConversion"/>
  </si>
  <si>
    <t>지진
구역</t>
    <phoneticPr fontId="3" type="noConversion"/>
  </si>
  <si>
    <t>내진성능 
우선순위 평가 결과</t>
    <phoneticPr fontId="3" type="noConversion"/>
  </si>
  <si>
    <t>지진도
평가</t>
    <phoneticPr fontId="3" type="noConversion"/>
  </si>
  <si>
    <t>SP</t>
    <phoneticPr fontId="3" type="noConversion"/>
  </si>
  <si>
    <t>S3</t>
    <phoneticPr fontId="3" type="noConversion"/>
  </si>
  <si>
    <t>1그룹</t>
    <phoneticPr fontId="3" type="noConversion"/>
  </si>
  <si>
    <t>하안 송수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</si>
</sst>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-* #,##0.000_-;\-* #,##0.000_-;_-* &quot;-&quot;_-;_-@_-"/>
    <numFmt numFmtId="177" formatCode="_-* #,##0.0_-;\-* #,##0.0_-;_-* &quot;-&quot;_-;_-@_-"/>
    <numFmt numFmtId="178" formatCode="_-* #,##0.0000_-;\-* #,##0.0000_-;_-* &quot;-&quot;_-;_-@_-"/>
    <numFmt numFmtId="179" formatCode="0.000"/>
    <numFmt numFmtId="180" formatCode="0.000_);[Red]\(0.000\)"/>
    <numFmt numFmtId="181" formatCode="0.0"/>
  </numFmts>
  <fonts count="4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굴림"/>
      <family val="3"/>
      <charset val="129"/>
    </font>
    <font>
      <sz val="8"/>
      <name val="돋움"/>
      <family val="3"/>
      <charset val="129"/>
    </font>
    <font>
      <sz val="8"/>
      <name val="Arial Narrow"/>
      <family val="2"/>
    </font>
    <font>
      <b/>
      <sz val="18"/>
      <name val="Arial Narrow"/>
      <family val="2"/>
    </font>
    <font>
      <b/>
      <sz val="10"/>
      <name val="Arial Narrow"/>
      <family val="2"/>
    </font>
    <font>
      <b/>
      <u/>
      <sz val="8"/>
      <name val="Arial Narrow"/>
      <family val="2"/>
    </font>
    <font>
      <sz val="8"/>
      <color theme="3"/>
      <name val="Arial Narrow"/>
      <family val="2"/>
    </font>
    <font>
      <sz val="10"/>
      <name val="Times New Roman"/>
      <family val="1"/>
    </font>
    <font>
      <sz val="12"/>
      <name val="바탕체"/>
      <family val="1"/>
      <charset val="129"/>
    </font>
    <font>
      <sz val="10"/>
      <name val="MS Sans Serif"/>
      <family val="2"/>
    </font>
    <font>
      <sz val="12"/>
      <name val="¹????¼"/>
      <family val="1"/>
      <charset val="129"/>
    </font>
    <font>
      <sz val="12"/>
      <name val="System"/>
      <family val="2"/>
      <charset val="129"/>
    </font>
    <font>
      <sz val="10"/>
      <name val="Arial"/>
      <family val="2"/>
    </font>
    <font>
      <sz val="10"/>
      <name val="±¼¸²?¼"/>
      <family val="3"/>
      <charset val="129"/>
    </font>
    <font>
      <sz val="10"/>
      <name val="굴림체"/>
      <family val="3"/>
      <charset val="129"/>
    </font>
    <font>
      <sz val="12"/>
      <name val="Times New Roman"/>
      <family val="1"/>
    </font>
    <font>
      <sz val="11"/>
      <name val="바탕체"/>
      <family val="1"/>
      <charset val="129"/>
    </font>
    <font>
      <sz val="12"/>
      <name val="¨IoUAAA¡§u"/>
      <family val="1"/>
      <charset val="129"/>
    </font>
    <font>
      <sz val="12"/>
      <name val="¡Ii¡E¡þ¡E?oA¡§u"/>
      <family val="3"/>
      <charset val="129"/>
    </font>
    <font>
      <sz val="12"/>
      <name val="ⓒoUAAA¨u"/>
      <family val="1"/>
      <charset val="129"/>
    </font>
    <font>
      <sz val="12"/>
      <name val="¡§IoUAAA￠R¡×u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굴림체"/>
      <family val="3"/>
      <charset val="129"/>
    </font>
    <font>
      <sz val="10"/>
      <name val="μ¸¿oA¼"/>
      <family val="3"/>
      <charset val="129"/>
    </font>
    <font>
      <sz val="10"/>
      <name val="±¼¸²Ã¼"/>
      <family val="3"/>
      <charset val="129"/>
    </font>
    <font>
      <sz val="8"/>
      <name val="¹UAAA¼"/>
      <family val="3"/>
      <charset val="129"/>
    </font>
    <font>
      <sz val="11"/>
      <name val="μ¸¿o"/>
      <family val="3"/>
      <charset val="129"/>
    </font>
    <font>
      <u/>
      <sz val="8.5"/>
      <color indexed="36"/>
      <name val="바탕체"/>
      <family val="1"/>
      <charset val="129"/>
    </font>
    <font>
      <u/>
      <sz val="10"/>
      <color indexed="12"/>
      <name val="Arial"/>
      <family val="2"/>
    </font>
    <font>
      <b/>
      <sz val="18"/>
      <color theme="3"/>
      <name val="Arial Narrow"/>
      <family val="2"/>
    </font>
    <font>
      <sz val="8"/>
      <name val="굴림"/>
      <family val="2"/>
      <charset val="129"/>
    </font>
    <font>
      <sz val="8"/>
      <name val="Arial Unicode MS"/>
      <family val="2"/>
      <charset val="129"/>
    </font>
    <font>
      <b/>
      <sz val="18"/>
      <name val="Arial Unicode MS"/>
      <family val="2"/>
      <charset val="129"/>
    </font>
    <font>
      <sz val="8"/>
      <name val="맑은 고딕"/>
      <family val="2"/>
      <charset val="129"/>
    </font>
    <font>
      <u/>
      <sz val="11"/>
      <color theme="10"/>
      <name val="돋움"/>
      <family val="3"/>
      <charset val="129"/>
    </font>
    <font>
      <u/>
      <sz val="11"/>
      <color theme="11"/>
      <name val="돋움"/>
      <family val="3"/>
      <charset val="129"/>
    </font>
    <font>
      <sz val="8"/>
      <color rgb="FFFF0000"/>
      <name val="Arial Narrow"/>
      <family val="2"/>
    </font>
    <font>
      <sz val="8"/>
      <color rgb="FFFF0000"/>
      <name val="Arial Unicode MS"/>
      <family val="3"/>
      <charset val="129"/>
    </font>
    <font>
      <sz val="8"/>
      <color rgb="FFFF0000"/>
      <name val="돋움"/>
      <family val="3"/>
      <charset val="129"/>
    </font>
    <font>
      <sz val="8"/>
      <color theme="1"/>
      <name val="Arial Narrow"/>
      <family val="2"/>
    </font>
    <font>
      <sz val="8"/>
      <color theme="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>
      <protection locked="0"/>
    </xf>
    <xf numFmtId="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" fillId="0" borderId="0">
      <protection locked="0"/>
    </xf>
    <xf numFmtId="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37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37" fontId="23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4" fillId="0" borderId="0" applyFont="0" applyFill="0" applyBorder="0" applyAlignment="0" applyProtection="0"/>
    <xf numFmtId="37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37" fontId="2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/>
    <xf numFmtId="0" fontId="21" fillId="0" borderId="0"/>
    <xf numFmtId="0" fontId="19" fillId="0" borderId="0"/>
    <xf numFmtId="0" fontId="28" fillId="0" borderId="0"/>
    <xf numFmtId="0" fontId="24" fillId="0" borderId="0"/>
    <xf numFmtId="0" fontId="29" fillId="0" borderId="0"/>
    <xf numFmtId="0" fontId="13" fillId="0" borderId="0"/>
    <xf numFmtId="0" fontId="1" fillId="0" borderId="0">
      <protection locked="0"/>
    </xf>
    <xf numFmtId="0" fontId="11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" fillId="0" borderId="0">
      <protection locked="0"/>
    </xf>
    <xf numFmtId="0" fontId="11" fillId="0" borderId="0" applyFont="0" applyFill="0" applyBorder="0" applyAlignment="0" applyProtection="0"/>
    <xf numFmtId="0" fontId="18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" fillId="0" borderId="0">
      <protection locked="0"/>
    </xf>
    <xf numFmtId="0" fontId="14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9" fontId="4" fillId="0" borderId="1" xfId="0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left"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7" fontId="4" fillId="0" borderId="1" xfId="0" quotePrefix="1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6" fontId="4" fillId="0" borderId="1" xfId="0" quotePrefix="1" applyNumberFormat="1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9" fillId="0" borderId="1" xfId="0" applyFont="1" applyBorder="1">
      <alignment vertical="center"/>
    </xf>
    <xf numFmtId="0" fontId="36" fillId="0" borderId="1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center"/>
    </xf>
    <xf numFmtId="49" fontId="4" fillId="0" borderId="0" xfId="0" applyNumberFormat="1" applyFont="1">
      <alignment vertical="center"/>
    </xf>
    <xf numFmtId="49" fontId="4" fillId="0" borderId="1" xfId="0" quotePrefix="1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right" vertical="center"/>
    </xf>
    <xf numFmtId="2" fontId="41" fillId="0" borderId="1" xfId="0" applyNumberFormat="1" applyFont="1" applyFill="1" applyBorder="1" applyAlignment="1">
      <alignment horizontal="center" vertical="center" wrapText="1"/>
    </xf>
    <xf numFmtId="2" fontId="41" fillId="0" borderId="1" xfId="0" applyNumberFormat="1" applyFont="1" applyFill="1" applyBorder="1" applyAlignment="1">
      <alignment horizontal="center" vertical="center"/>
    </xf>
    <xf numFmtId="2" fontId="43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181" fontId="42" fillId="0" borderId="1" xfId="0" applyNumberFormat="1" applyFont="1" applyFill="1" applyBorder="1" applyAlignment="1">
      <alignment horizontal="right" vertical="center"/>
    </xf>
    <xf numFmtId="181" fontId="39" fillId="0" borderId="1" xfId="0" applyNumberFormat="1" applyFont="1" applyFill="1" applyBorder="1" applyAlignment="1">
      <alignment horizontal="right" vertical="center"/>
    </xf>
    <xf numFmtId="181" fontId="42" fillId="0" borderId="1" xfId="0" applyNumberFormat="1" applyFont="1" applyFill="1" applyBorder="1" applyAlignment="1" applyProtection="1">
      <alignment horizontal="center" vertical="center"/>
      <protection locked="0"/>
    </xf>
    <xf numFmtId="181" fontId="4" fillId="0" borderId="1" xfId="0" applyNumberFormat="1" applyFont="1" applyFill="1" applyBorder="1" applyAlignment="1" applyProtection="1">
      <alignment horizontal="center" vertical="center"/>
      <protection locked="0"/>
    </xf>
    <xf numFmtId="0" fontId="36" fillId="0" borderId="4" xfId="0" applyFont="1" applyBorder="1" applyAlignment="1">
      <alignment horizontal="center" vertical="center"/>
    </xf>
    <xf numFmtId="49" fontId="4" fillId="0" borderId="4" xfId="0" quotePrefix="1" applyNumberFormat="1" applyFont="1" applyBorder="1" applyAlignment="1">
      <alignment horizontal="center" vertical="center" wrapText="1"/>
    </xf>
    <xf numFmtId="0" fontId="39" fillId="0" borderId="4" xfId="0" applyFont="1" applyBorder="1" applyAlignment="1">
      <alignment horizontal="center" vertical="center" wrapText="1"/>
    </xf>
    <xf numFmtId="2" fontId="39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Fill="1" applyBorder="1" applyAlignment="1">
      <alignment horizontal="center" vertical="center" wrapText="1"/>
    </xf>
    <xf numFmtId="2" fontId="39" fillId="0" borderId="4" xfId="0" applyNumberFormat="1" applyFont="1" applyFill="1" applyBorder="1" applyAlignment="1">
      <alignment horizontal="right" vertical="center"/>
    </xf>
    <xf numFmtId="1" fontId="39" fillId="0" borderId="4" xfId="0" applyNumberFormat="1" applyFont="1" applyFill="1" applyBorder="1" applyAlignment="1" applyProtection="1">
      <alignment horizontal="center" vertical="center"/>
      <protection locked="0"/>
    </xf>
    <xf numFmtId="181" fontId="39" fillId="0" borderId="4" xfId="0" applyNumberFormat="1" applyFont="1" applyBorder="1" applyAlignment="1">
      <alignment horizontal="center" vertical="center"/>
    </xf>
    <xf numFmtId="179" fontId="39" fillId="0" borderId="4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>
      <alignment horizontal="right" vertical="center"/>
    </xf>
    <xf numFmtId="179" fontId="39" fillId="0" borderId="4" xfId="0" applyNumberFormat="1" applyFont="1" applyFill="1" applyBorder="1" applyAlignment="1">
      <alignment horizontal="right" vertical="center"/>
    </xf>
    <xf numFmtId="2" fontId="4" fillId="0" borderId="4" xfId="0" applyNumberFormat="1" applyFont="1" applyFill="1" applyBorder="1" applyAlignment="1" applyProtection="1">
      <alignment horizontal="center" vertical="center"/>
      <protection locked="0"/>
    </xf>
    <xf numFmtId="180" fontId="4" fillId="0" borderId="4" xfId="0" applyNumberFormat="1" applyFont="1" applyFill="1" applyBorder="1" applyAlignment="1" applyProtection="1">
      <alignment horizontal="center" vertical="center"/>
      <protection locked="0"/>
    </xf>
    <xf numFmtId="179" fontId="4" fillId="0" borderId="4" xfId="0" applyNumberFormat="1" applyFont="1" applyFill="1" applyBorder="1" applyAlignment="1">
      <alignment horizontal="right" vertical="center"/>
    </xf>
    <xf numFmtId="0" fontId="2" fillId="0" borderId="17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6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</cellXfs>
  <cellStyles count="82">
    <cellStyle name=" " xfId="2"/>
    <cellStyle name="???­ [0]_INQUIRY ¿?¾÷?ß?ø " xfId="3"/>
    <cellStyle name="???­_INQUIRY ¿?¾÷?ß?ø " xfId="4"/>
    <cellStyle name="???Ø_??¾÷º?º° ??°? " xfId="5"/>
    <cellStyle name="?Þ¸¶ [0]_INQUIRY ¿?¾÷?ß?ø " xfId="6"/>
    <cellStyle name="?Þ¸¶_INQUIRY ¿?¾÷?ß?ø " xfId="7"/>
    <cellStyle name="_인원계획표 " xfId="8"/>
    <cellStyle name="_인원계획표 _적격 " xfId="9"/>
    <cellStyle name="_입찰표지 " xfId="10"/>
    <cellStyle name="_적격 " xfId="11"/>
    <cellStyle name="_적격 _집행갑지 " xfId="12"/>
    <cellStyle name="_적격(화산) " xfId="13"/>
    <cellStyle name="_집행갑지 " xfId="14"/>
    <cellStyle name="¡E￠￥@?e_TEST-1 " xfId="15"/>
    <cellStyle name="¤@?e_TEST-1 " xfId="16"/>
    <cellStyle name="A¡§¡ⓒ¡E¡þ¡EO [0]_INQUIRY ¡E?¡Ii¡§u￠RAA¨I¡þA¨I¨￡ " xfId="20"/>
    <cellStyle name="A¡§¡ⓒ¡E¡þ¡EO_INQUIRY ¡E?¡Ii¡§u￠RAA¨I¡þA¨I¨￡ " xfId="21"/>
    <cellStyle name="A¨­￠￢￠O [0]_ ¨￢n￠￢n¨￢¡Æ ￠?u¨￢¡Æ¡¾a¨uu " xfId="22"/>
    <cellStyle name="A¨­￠￢￠O_ ¨￢n￠￢n¨￢¡Æ ￠?u¨￢¡Æ¡¾a¨uu " xfId="23"/>
    <cellStyle name="A￠R¡×￠R¨I￠RE￠Rⓒ­￠REO [0]_INQUIRY ￠RE?￠RIi￠R¡×u¡ERAA¡§I￠Rⓒ­A¡§I¡§¡I " xfId="24"/>
    <cellStyle name="A￠R¡×￠R¨I￠RE￠Rⓒ­￠REO_INQUIRY ￠RE?￠RIi￠R¡×u¡ERAA¡§I￠Rⓒ­A¡§I¡§¡I " xfId="25"/>
    <cellStyle name="Aee­ " xfId="26"/>
    <cellStyle name="AeE­ [0]_ 2ÆAAþº° " xfId="27"/>
    <cellStyle name="ÅëÈ­ [0]_INQUIRY ¿µ¾÷ÃßÁø " xfId="28"/>
    <cellStyle name="AeE­ [0]_INQUIRY ¿μ¾÷AßAø " xfId="29"/>
    <cellStyle name="ÅëÈ­ [0]_º»¼± ±æ¾î±úºÎ ¼ö·® Áý°èÇ¥ " xfId="30"/>
    <cellStyle name="AeE­ [0]_º≫¼± ±æ¾i±uºI ¼o·R Ay°eC￥ " xfId="31"/>
    <cellStyle name="AeE­_ 2ÆAAþº° " xfId="32"/>
    <cellStyle name="ÅëÈ­_»óºÎ¼ö·®Áý°è " xfId="33"/>
    <cellStyle name="AeE­_¼oAa½CAu " xfId="34"/>
    <cellStyle name="ÅëÈ­_INQUIRY ¿µ¾÷ÃßÁø " xfId="35"/>
    <cellStyle name="AeE­_INQUIRY ¿μ¾÷AßAø " xfId="36"/>
    <cellStyle name="ÅëÈ­_º»¼± ±æ¾î±úºÎ ¼ö·® Áý°èÇ¥ " xfId="37"/>
    <cellStyle name="AeE­_º≫¼± ±æ¾i±uºI ¼o·R Ay°eC￥ " xfId="38"/>
    <cellStyle name="AeE¡ⓒ [0]_ ¨￢n￠￢n¨￢¡Æ ￠?u¨￢¡Æ¡¾a¨uu " xfId="39"/>
    <cellStyle name="AeE¡ⓒ_ ¨￢n￠￢n¨￢¡Æ ￠?u¨￢¡Æ¡¾a¨uu " xfId="40"/>
    <cellStyle name="AeE¡ER¡§I [0]_INQUIRY ￠RE?￠RIi￠R¡×u¡ERAA¡§I￠Rⓒ­A¡§I¡§¡I " xfId="41"/>
    <cellStyle name="AeE¡ER¡§I_INQUIRY ￠RE?￠RIi￠R¡×u¡ERAA¡§I￠Rⓒ­A¡§I¡§¡I " xfId="42"/>
    <cellStyle name="AeE￠R¨I [0]_INQUIRY ¡E?¡Ii¡§u￠RAA¨I¡þA¨I¨￡ " xfId="43"/>
    <cellStyle name="AeE￠R¨I_INQUIRY ¡E?¡Ii¡§u￠RAA¨I¡þA¨I¨￡ " xfId="44"/>
    <cellStyle name="AÞ¸¶ [0]_ 2ÆAAþº° " xfId="45"/>
    <cellStyle name="ÄÞ¸¶ [0]_INQUIRY ¿µ¾÷ÃßÁø " xfId="46"/>
    <cellStyle name="AÞ¸¶ [0]_INQUIRY ¿μ¾÷AßAø " xfId="47"/>
    <cellStyle name="ÄÞ¸¶ [0]_º»¼± ±æ¾î±úºÎ ¼ö·® Áý°èÇ¥ " xfId="48"/>
    <cellStyle name="AÞ¸¶ [0]_º≫¼± ±æ¾i±uºI ¼o·R Ay°eC￥ " xfId="49"/>
    <cellStyle name="AÞ¸¶_ 2ÆAAþº° " xfId="50"/>
    <cellStyle name="ÄÞ¸¶_»óºÎ¼ö·®Áý°è " xfId="51"/>
    <cellStyle name="AÞ¸¶_¼oAa½CAu " xfId="52"/>
    <cellStyle name="ÄÞ¸¶_INQUIRY ¿µ¾÷ÃßÁø " xfId="53"/>
    <cellStyle name="AÞ¸¶_INQUIRY ¿μ¾÷AßAø " xfId="54"/>
    <cellStyle name="ÄÞ¸¶_º»¼± ±æ¾î±úºÎ ¼ö·® Áý°èÇ¥ " xfId="55"/>
    <cellStyle name="AÞ¸¶_º≫¼± ±æ¾i±uºI ¼o·R Ay°eC￥ " xfId="56"/>
    <cellStyle name="b椬ៜ_x000c_Comma_ODCOS " xfId="57"/>
    <cellStyle name="C¡ERIA￠R¡×¡§¡I_¡ERic￠R¡×u¡ERA￠R¡×￠Rⓒ­I￠R¡×￠Rⓒ­¡ER¡§￠R AN¡ER¡§￠Re " xfId="58"/>
    <cellStyle name="C¡IA¨ª_ 1-3 " xfId="59"/>
    <cellStyle name="C￠RIA¡§¨￡_¡§￠R?￠R¨ua3_p.mix " xfId="60"/>
    <cellStyle name="C￥AØ_  FAB AIA¤  " xfId="61"/>
    <cellStyle name="Ç¥ÁØ_¿µ¾÷ÇöÈ² " xfId="62"/>
    <cellStyle name="C￥AØ_¿i≫eA¡ " xfId="63"/>
    <cellStyle name="Ç¥ÁØ_»ç¾÷ºÎº° ÃÑ°è " xfId="64"/>
    <cellStyle name="Comma" xfId="65"/>
    <cellStyle name="Comma [0]" xfId="66"/>
    <cellStyle name="Comma_ SG&amp;A Bridge " xfId="67"/>
    <cellStyle name="Currency" xfId="68"/>
    <cellStyle name="Currency [0]" xfId="69"/>
    <cellStyle name="Currency1" xfId="70"/>
    <cellStyle name="Followed Hyperlink" xfId="71"/>
    <cellStyle name="Hyperlink" xfId="72"/>
    <cellStyle name="Normal_ SG&amp;A Bridge " xfId="73"/>
    <cellStyle name="Percent" xfId="74"/>
    <cellStyle name="S " xfId="75"/>
    <cellStyle name="백 " xfId="17"/>
    <cellStyle name="백분율" xfId="79" builtinId="5" hidden="1"/>
    <cellStyle name="쉼표" xfId="76" builtinId="3" hidden="1"/>
    <cellStyle name="쉼표 [0]" xfId="1" builtinId="6" hidden="1"/>
    <cellStyle name="열어 본 하이퍼링크" xfId="81" builtinId="9" hidden="1"/>
    <cellStyle name="콤마_  종  합  " xfId="18"/>
    <cellStyle name="콤마쇔[0]_대총괄표 " xfId="19"/>
    <cellStyle name="통화" xfId="77" builtinId="4" hidden="1"/>
    <cellStyle name="통화 [0]" xfId="78" builtinId="7" hidden="1"/>
    <cellStyle name="표준" xfId="0" builtinId="0"/>
    <cellStyle name="하이퍼링크" xfId="80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70C0"/>
    <pageSetUpPr fitToPage="1"/>
  </sheetPr>
  <dimension ref="A1:AJ12"/>
  <sheetViews>
    <sheetView showGridLines="0" view="pageBreakPreview" topLeftCell="B1" zoomScale="130" zoomScaleNormal="115" zoomScaleSheetLayoutView="130" workbookViewId="0">
      <pane xSplit="3" ySplit="4" topLeftCell="E5" activePane="bottomRight" state="frozen"/>
      <selection activeCell="B1" sqref="B1"/>
      <selection pane="topRight" activeCell="H1" sqref="H1"/>
      <selection pane="bottomLeft" activeCell="B5" sqref="B5"/>
      <selection pane="bottomRight" activeCell="M13" sqref="M13"/>
    </sheetView>
  </sheetViews>
  <sheetFormatPr defaultRowHeight="12.75" outlineLevelCol="1"/>
  <cols>
    <col min="1" max="1" width="8.5546875" style="6" hidden="1" customWidth="1"/>
    <col min="2" max="2" width="6.33203125" style="6" customWidth="1"/>
    <col min="3" max="4" width="3.77734375" style="27" bestFit="1" customWidth="1"/>
    <col min="5" max="5" width="3.77734375" style="27" customWidth="1"/>
    <col min="6" max="6" width="3.88671875" style="9" customWidth="1"/>
    <col min="7" max="7" width="5" style="6" bestFit="1" customWidth="1"/>
    <col min="8" max="9" width="3.77734375" style="6" bestFit="1" customWidth="1"/>
    <col min="10" max="10" width="5" style="9" bestFit="1" customWidth="1"/>
    <col min="11" max="11" width="9.109375" style="9" bestFit="1" customWidth="1"/>
    <col min="12" max="12" width="8.5546875" style="9" customWidth="1"/>
    <col min="13" max="13" width="8.21875" style="6" customWidth="1"/>
    <col min="14" max="14" width="8.33203125" style="6" customWidth="1"/>
    <col min="15" max="17" width="5.88671875" style="6" customWidth="1"/>
    <col min="18" max="18" width="18.109375" style="9" customWidth="1"/>
    <col min="19" max="20" width="18.109375" style="9" customWidth="1" outlineLevel="1"/>
    <col min="21" max="21" width="15.33203125" style="9" customWidth="1" outlineLevel="1"/>
    <col min="22" max="22" width="9.109375" style="6" customWidth="1"/>
    <col min="23" max="26" width="7.44140625" style="6" customWidth="1"/>
    <col min="27" max="27" width="6.5546875" style="6" customWidth="1"/>
    <col min="28" max="28" width="7.44140625" style="6" customWidth="1"/>
    <col min="29" max="29" width="6.21875" style="6" customWidth="1"/>
    <col min="30" max="30" width="5" style="6" customWidth="1"/>
    <col min="31" max="31" width="5.44140625" style="6" customWidth="1"/>
    <col min="32" max="32" width="6.77734375" style="6" customWidth="1"/>
    <col min="33" max="33" width="5.44140625" style="6" customWidth="1"/>
    <col min="34" max="34" width="4.109375" style="6" customWidth="1"/>
    <col min="35" max="35" width="5.44140625" style="6" customWidth="1"/>
    <col min="36" max="36" width="7.33203125" style="6" bestFit="1" customWidth="1"/>
    <col min="37" max="16384" width="8.88671875" style="6"/>
  </cols>
  <sheetData>
    <row r="1" spans="1:36" ht="30" customHeight="1">
      <c r="A1" s="74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3"/>
      <c r="S1" s="3"/>
      <c r="T1" s="3"/>
      <c r="U1" s="18"/>
      <c r="V1" s="19"/>
    </row>
    <row r="2" spans="1:36" ht="15" customHeight="1">
      <c r="A2" s="1"/>
      <c r="C2" s="26"/>
      <c r="D2" s="26"/>
      <c r="E2" s="26"/>
      <c r="F2" s="3"/>
      <c r="G2" s="3"/>
      <c r="H2" s="3"/>
      <c r="I2" s="3"/>
      <c r="J2" s="3"/>
      <c r="K2" s="29"/>
      <c r="L2" s="29"/>
      <c r="M2" s="3"/>
      <c r="N2" s="3"/>
      <c r="O2" s="3"/>
      <c r="P2" s="3"/>
      <c r="Q2" s="3"/>
      <c r="R2" s="3"/>
      <c r="S2" s="3"/>
      <c r="T2" s="3"/>
      <c r="U2" s="3"/>
      <c r="V2" s="19"/>
      <c r="W2" s="8"/>
      <c r="X2" s="8"/>
      <c r="Y2" s="8"/>
      <c r="Z2" s="8"/>
      <c r="AA2" s="9"/>
    </row>
    <row r="3" spans="1:36" ht="15" customHeight="1">
      <c r="A3" s="76" t="s">
        <v>20</v>
      </c>
      <c r="B3" s="80" t="s">
        <v>5</v>
      </c>
      <c r="C3" s="78" t="s">
        <v>6</v>
      </c>
      <c r="D3" s="78" t="s">
        <v>21</v>
      </c>
      <c r="E3" s="84" t="s">
        <v>35</v>
      </c>
      <c r="F3" s="82" t="s">
        <v>9</v>
      </c>
      <c r="G3" s="82" t="s">
        <v>10</v>
      </c>
      <c r="H3" s="70" t="s">
        <v>30</v>
      </c>
      <c r="I3" s="71"/>
      <c r="J3" s="72"/>
      <c r="K3" s="70" t="s">
        <v>40</v>
      </c>
      <c r="L3" s="72"/>
      <c r="M3" s="70" t="s">
        <v>32</v>
      </c>
      <c r="N3" s="71"/>
      <c r="O3" s="71"/>
      <c r="P3" s="71"/>
      <c r="Q3" s="73"/>
      <c r="R3" s="67" t="s">
        <v>23</v>
      </c>
      <c r="S3" s="64" t="s">
        <v>24</v>
      </c>
      <c r="T3" s="69" t="s">
        <v>28</v>
      </c>
      <c r="U3" s="64" t="s">
        <v>7</v>
      </c>
      <c r="V3" s="20"/>
      <c r="W3" s="66" t="s">
        <v>12</v>
      </c>
      <c r="X3" s="63" t="s">
        <v>8</v>
      </c>
      <c r="Y3" s="63"/>
      <c r="Z3" s="63"/>
      <c r="AA3" s="63"/>
      <c r="AB3" s="63" t="s">
        <v>11</v>
      </c>
      <c r="AC3" s="63"/>
      <c r="AD3" s="63"/>
      <c r="AE3" s="63"/>
      <c r="AF3" s="63"/>
      <c r="AG3" s="63"/>
      <c r="AH3" s="63"/>
      <c r="AI3" s="63"/>
      <c r="AJ3" s="63"/>
    </row>
    <row r="4" spans="1:36" ht="35.1" customHeight="1">
      <c r="A4" s="77"/>
      <c r="B4" s="81"/>
      <c r="C4" s="79"/>
      <c r="D4" s="79"/>
      <c r="E4" s="79"/>
      <c r="F4" s="83"/>
      <c r="G4" s="83"/>
      <c r="H4" s="60" t="s">
        <v>56</v>
      </c>
      <c r="I4" s="61" t="s">
        <v>55</v>
      </c>
      <c r="J4" s="60" t="s">
        <v>31</v>
      </c>
      <c r="K4" s="60" t="s">
        <v>41</v>
      </c>
      <c r="L4" s="60" t="s">
        <v>42</v>
      </c>
      <c r="M4" s="60" t="s">
        <v>37</v>
      </c>
      <c r="N4" s="60" t="s">
        <v>39</v>
      </c>
      <c r="O4" s="60" t="s">
        <v>38</v>
      </c>
      <c r="P4" s="61" t="s">
        <v>33</v>
      </c>
      <c r="Q4" s="62" t="s">
        <v>34</v>
      </c>
      <c r="R4" s="68"/>
      <c r="S4" s="65"/>
      <c r="T4" s="65"/>
      <c r="U4" s="65"/>
      <c r="V4" s="20"/>
      <c r="W4" s="66"/>
      <c r="X4" s="2" t="s">
        <v>13</v>
      </c>
      <c r="Y4" s="2" t="s">
        <v>14</v>
      </c>
      <c r="Z4" s="2" t="s">
        <v>15</v>
      </c>
      <c r="AA4" s="2" t="s">
        <v>16</v>
      </c>
      <c r="AB4" s="7" t="s">
        <v>17</v>
      </c>
      <c r="AC4" s="7" t="s">
        <v>18</v>
      </c>
      <c r="AD4" s="7" t="s">
        <v>19</v>
      </c>
      <c r="AE4" s="2" t="s">
        <v>0</v>
      </c>
      <c r="AF4" s="2" t="s">
        <v>1</v>
      </c>
      <c r="AG4" s="2" t="s">
        <v>2</v>
      </c>
      <c r="AH4" s="2" t="s">
        <v>3</v>
      </c>
      <c r="AI4" s="2" t="s">
        <v>4</v>
      </c>
      <c r="AJ4" s="2" t="s">
        <v>22</v>
      </c>
    </row>
    <row r="5" spans="1:36" ht="20.100000000000001" customHeight="1">
      <c r="A5" s="2"/>
      <c r="B5" s="46" t="s">
        <v>62</v>
      </c>
      <c r="C5" s="25" t="s">
        <v>27</v>
      </c>
      <c r="D5" s="47" t="s">
        <v>27</v>
      </c>
      <c r="E5" s="47" t="s">
        <v>59</v>
      </c>
      <c r="F5" s="48">
        <v>1000</v>
      </c>
      <c r="G5" s="49">
        <v>8</v>
      </c>
      <c r="H5" s="50" t="s">
        <v>36</v>
      </c>
      <c r="I5" s="51" t="s">
        <v>60</v>
      </c>
      <c r="J5" s="52">
        <v>1</v>
      </c>
      <c r="K5" s="53">
        <v>210</v>
      </c>
      <c r="L5" s="54">
        <v>0.25</v>
      </c>
      <c r="M5" s="55">
        <f>IF(E5="SP",210000,200000)</f>
        <v>210000</v>
      </c>
      <c r="N5" s="56">
        <v>0.3</v>
      </c>
      <c r="O5" s="57">
        <f>F5/2000</f>
        <v>0.5</v>
      </c>
      <c r="P5" s="58">
        <f>G5/1000</f>
        <v>8.0000000000000002E-3</v>
      </c>
      <c r="Q5" s="59">
        <f>(2*K5*(1-L5^2)*O5^3)/((M5*(1+N5)*P5^3))</f>
        <v>352.12590144230768</v>
      </c>
      <c r="R5" s="9">
        <v>120.5</v>
      </c>
      <c r="S5" s="17">
        <v>1994</v>
      </c>
      <c r="T5" s="17">
        <v>156.80000000000001</v>
      </c>
      <c r="U5" s="10" t="s">
        <v>25</v>
      </c>
      <c r="V5" s="12"/>
      <c r="W5" s="5" t="e">
        <f t="shared" ref="W5" si="0">+IF(Y5&gt;=1,"","None")</f>
        <v>#REF!</v>
      </c>
      <c r="X5" s="13" t="e">
        <f>+IF(+IF(U5="수격압",210/#REF!,140/#REF!)&gt;=2,"2.0이상",+IF(U5="수격압",210/#REF!,140/#REF!))</f>
        <v>#REF!</v>
      </c>
      <c r="Y5" s="13" t="e">
        <f>+IF(140/#REF!&gt;=2,"2.0이상",140/#REF!)</f>
        <v>#REF!</v>
      </c>
      <c r="Z5" s="13" t="e">
        <f>+IF(5/#REF!&gt;=2,"2.0이상",5/#REF!)</f>
        <v>#REF!</v>
      </c>
      <c r="AA5" s="13" t="e">
        <f>+IF(#REF!/#REF!&gt;=2,"2.0이상",#REF!/#REF!)</f>
        <v>#REF!</v>
      </c>
      <c r="AB5" s="14">
        <f>+IF(M5=60,0.189,IF(M5=90,0.157,IF(M5=120,0.138,0.128)))</f>
        <v>0.128</v>
      </c>
      <c r="AC5" s="10">
        <f>+IF(M5=60,0.103,IF(M5=90,0.096,IF(M5=120,0.089,0.085)))</f>
        <v>8.5000000000000006E-2</v>
      </c>
      <c r="AD5" s="15">
        <f t="shared" ref="AD5" si="1">2*F5/10+100</f>
        <v>300</v>
      </c>
      <c r="AE5" s="10">
        <f t="shared" ref="AE5" si="2">+(G5/10)^2/6</f>
        <v>0.10666666666666669</v>
      </c>
      <c r="AF5" s="10">
        <f t="shared" ref="AF5" si="3">+((F5/10)/2+(G5/10))</f>
        <v>50.8</v>
      </c>
      <c r="AG5" s="10">
        <f t="shared" ref="AG5" si="4">+(G5/10)^3/12</f>
        <v>4.2666666666666679E-2</v>
      </c>
      <c r="AH5" s="11">
        <f t="shared" ref="AH5" si="5">+IF(J5/(F5/1000)&gt;=2,2.5,3)</f>
        <v>3</v>
      </c>
      <c r="AI5" s="16">
        <f t="shared" ref="AI5" si="6">(0.15+0.041*(J5/(F5/1000)))</f>
        <v>0.191</v>
      </c>
      <c r="AJ5" s="23">
        <v>69</v>
      </c>
    </row>
    <row r="6" spans="1:36">
      <c r="T6" s="9">
        <v>94.9</v>
      </c>
    </row>
    <row r="7" spans="1:36">
      <c r="O7" s="22" t="s">
        <v>26</v>
      </c>
      <c r="P7" s="6">
        <v>9600</v>
      </c>
    </row>
    <row r="10" spans="1:36">
      <c r="R10" s="9">
        <v>20000</v>
      </c>
    </row>
    <row r="11" spans="1:36">
      <c r="R11" s="9">
        <v>8</v>
      </c>
    </row>
    <row r="12" spans="1:36">
      <c r="W12" s="6">
        <f>43200/43830</f>
        <v>0.98562628336755642</v>
      </c>
    </row>
  </sheetData>
  <sortState ref="A58:AV71">
    <sortCondition ref="V58:V71"/>
  </sortState>
  <mergeCells count="18">
    <mergeCell ref="H3:J3"/>
    <mergeCell ref="M3:Q3"/>
    <mergeCell ref="A1:Q1"/>
    <mergeCell ref="A3:A4"/>
    <mergeCell ref="D3:D4"/>
    <mergeCell ref="B3:B4"/>
    <mergeCell ref="F3:F4"/>
    <mergeCell ref="G3:G4"/>
    <mergeCell ref="C3:C4"/>
    <mergeCell ref="E3:E4"/>
    <mergeCell ref="K3:L3"/>
    <mergeCell ref="X3:AA3"/>
    <mergeCell ref="AB3:AJ3"/>
    <mergeCell ref="U3:U4"/>
    <mergeCell ref="W3:W4"/>
    <mergeCell ref="R3:R4"/>
    <mergeCell ref="S3:S4"/>
    <mergeCell ref="T3:T4"/>
  </mergeCells>
  <phoneticPr fontId="3" type="noConversion"/>
  <printOptions horizontalCentered="1"/>
  <pageMargins left="0.70866141732283472" right="0.47244094488188981" top="0.59055118110236227" bottom="0.59055118110236227" header="0.39370078740157483" footer="0.39370078740157483"/>
  <pageSetup paperSize="9" scale="86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N12"/>
  <sheetViews>
    <sheetView showGridLines="0" tabSelected="1" view="pageBreakPreview" topLeftCell="B1" zoomScale="130" zoomScaleNormal="115" zoomScaleSheetLayoutView="130" workbookViewId="0">
      <pane xSplit="3" ySplit="4" topLeftCell="E5" activePane="bottomRight" state="frozen"/>
      <selection activeCell="B1" sqref="B1"/>
      <selection pane="topRight" activeCell="H1" sqref="H1"/>
      <selection pane="bottomLeft" activeCell="B5" sqref="B5"/>
      <selection pane="bottomRight" activeCell="U5" sqref="U5"/>
    </sheetView>
  </sheetViews>
  <sheetFormatPr defaultRowHeight="12.75" outlineLevelCol="1"/>
  <cols>
    <col min="1" max="1" width="8.5546875" style="6" hidden="1" customWidth="1"/>
    <col min="2" max="2" width="6.33203125" style="6" customWidth="1"/>
    <col min="3" max="4" width="3.77734375" style="27" bestFit="1" customWidth="1"/>
    <col min="5" max="5" width="5.44140625" style="6" bestFit="1" customWidth="1"/>
    <col min="6" max="6" width="4.109375" style="6" bestFit="1" customWidth="1"/>
    <col min="7" max="8" width="5.5546875" style="6" customWidth="1"/>
    <col min="9" max="9" width="6.33203125" style="6" customWidth="1"/>
    <col min="10" max="10" width="4.88671875" style="6" bestFit="1" customWidth="1"/>
    <col min="11" max="11" width="5.77734375" style="6" bestFit="1" customWidth="1"/>
    <col min="12" max="12" width="5" style="9" bestFit="1" customWidth="1"/>
    <col min="13" max="13" width="4.44140625" style="6" bestFit="1" customWidth="1"/>
    <col min="14" max="14" width="4.109375" style="6" bestFit="1" customWidth="1"/>
    <col min="15" max="15" width="5.5546875" style="6" bestFit="1" customWidth="1"/>
    <col min="16" max="16" width="4.21875" style="6" bestFit="1" customWidth="1"/>
    <col min="17" max="17" width="7.21875" style="6" bestFit="1" customWidth="1"/>
    <col min="18" max="18" width="4.88671875" style="6" bestFit="1" customWidth="1"/>
    <col min="19" max="19" width="5.77734375" style="6" bestFit="1" customWidth="1"/>
    <col min="20" max="20" width="3.5546875" style="6" bestFit="1" customWidth="1"/>
    <col min="21" max="21" width="12.5546875" style="6" bestFit="1" customWidth="1"/>
    <col min="22" max="22" width="18.109375" style="9" customWidth="1"/>
    <col min="23" max="24" width="18.109375" style="9" customWidth="1" outlineLevel="1"/>
    <col min="25" max="25" width="15.33203125" style="9" customWidth="1" outlineLevel="1"/>
    <col min="26" max="26" width="9.109375" style="6" customWidth="1"/>
    <col min="27" max="30" width="7.44140625" style="6" customWidth="1"/>
    <col min="31" max="31" width="6.5546875" style="6" customWidth="1"/>
    <col min="32" max="32" width="7.44140625" style="6" customWidth="1"/>
    <col min="33" max="33" width="6.21875" style="6" customWidth="1"/>
    <col min="34" max="34" width="5" style="6" customWidth="1"/>
    <col min="35" max="35" width="5.44140625" style="6" customWidth="1"/>
    <col min="36" max="36" width="6.77734375" style="6" customWidth="1"/>
    <col min="37" max="37" width="5.44140625" style="6" customWidth="1"/>
    <col min="38" max="38" width="4.109375" style="6" customWidth="1"/>
    <col min="39" max="39" width="5.44140625" style="6" customWidth="1"/>
    <col min="40" max="40" width="7.33203125" style="6" bestFit="1" customWidth="1"/>
    <col min="41" max="16384" width="8.88671875" style="6"/>
  </cols>
  <sheetData>
    <row r="1" spans="1:40" ht="30" customHeight="1">
      <c r="A1" s="74" t="s">
        <v>43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34"/>
      <c r="W1" s="34"/>
      <c r="X1" s="34"/>
      <c r="Y1" s="18"/>
      <c r="Z1" s="19"/>
    </row>
    <row r="2" spans="1:40" ht="15" customHeight="1">
      <c r="A2" s="1"/>
      <c r="C2" s="26"/>
      <c r="D2" s="26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19"/>
      <c r="AA2" s="8"/>
      <c r="AB2" s="8"/>
      <c r="AC2" s="8"/>
      <c r="AD2" s="8"/>
      <c r="AE2" s="9"/>
    </row>
    <row r="3" spans="1:40" ht="15" customHeight="1">
      <c r="A3" s="66" t="s">
        <v>20</v>
      </c>
      <c r="B3" s="66" t="s">
        <v>5</v>
      </c>
      <c r="C3" s="87" t="s">
        <v>6</v>
      </c>
      <c r="D3" s="87" t="s">
        <v>21</v>
      </c>
      <c r="E3" s="86" t="s">
        <v>30</v>
      </c>
      <c r="F3" s="86"/>
      <c r="G3" s="86"/>
      <c r="H3" s="86"/>
      <c r="I3" s="86"/>
      <c r="J3" s="86"/>
      <c r="K3" s="86"/>
      <c r="L3" s="85" t="s">
        <v>58</v>
      </c>
      <c r="M3" s="86" t="s">
        <v>50</v>
      </c>
      <c r="N3" s="86"/>
      <c r="O3" s="86"/>
      <c r="P3" s="86"/>
      <c r="Q3" s="86"/>
      <c r="R3" s="86"/>
      <c r="S3" s="86"/>
      <c r="T3" s="86"/>
      <c r="U3" s="85" t="s">
        <v>57</v>
      </c>
      <c r="V3" s="64" t="s">
        <v>23</v>
      </c>
      <c r="W3" s="64" t="s">
        <v>24</v>
      </c>
      <c r="X3" s="69" t="s">
        <v>28</v>
      </c>
      <c r="Y3" s="64" t="s">
        <v>7</v>
      </c>
      <c r="Z3" s="20"/>
      <c r="AA3" s="66" t="s">
        <v>12</v>
      </c>
      <c r="AB3" s="63" t="s">
        <v>8</v>
      </c>
      <c r="AC3" s="63"/>
      <c r="AD3" s="63"/>
      <c r="AE3" s="63"/>
      <c r="AF3" s="63" t="s">
        <v>11</v>
      </c>
      <c r="AG3" s="63"/>
      <c r="AH3" s="63"/>
      <c r="AI3" s="63"/>
      <c r="AJ3" s="63"/>
      <c r="AK3" s="63"/>
      <c r="AL3" s="63"/>
      <c r="AM3" s="63"/>
      <c r="AN3" s="63"/>
    </row>
    <row r="4" spans="1:40" ht="35.1" customHeight="1">
      <c r="A4" s="63"/>
      <c r="B4" s="63"/>
      <c r="C4" s="88"/>
      <c r="D4" s="88"/>
      <c r="E4" s="30" t="s">
        <v>44</v>
      </c>
      <c r="F4" s="30" t="s">
        <v>45</v>
      </c>
      <c r="G4" s="30" t="s">
        <v>46</v>
      </c>
      <c r="H4" s="30" t="s">
        <v>54</v>
      </c>
      <c r="I4" s="30" t="s">
        <v>47</v>
      </c>
      <c r="J4" s="30" t="s">
        <v>48</v>
      </c>
      <c r="K4" s="31" t="s">
        <v>49</v>
      </c>
      <c r="L4" s="85"/>
      <c r="M4" s="30" t="s">
        <v>44</v>
      </c>
      <c r="N4" s="30" t="s">
        <v>45</v>
      </c>
      <c r="O4" s="30" t="s">
        <v>46</v>
      </c>
      <c r="P4" s="30" t="s">
        <v>54</v>
      </c>
      <c r="Q4" s="30" t="s">
        <v>47</v>
      </c>
      <c r="R4" s="30" t="s">
        <v>48</v>
      </c>
      <c r="S4" s="31" t="s">
        <v>49</v>
      </c>
      <c r="T4" s="31" t="s">
        <v>51</v>
      </c>
      <c r="U4" s="85"/>
      <c r="V4" s="65"/>
      <c r="W4" s="65"/>
      <c r="X4" s="65"/>
      <c r="Y4" s="65"/>
      <c r="Z4" s="20"/>
      <c r="AA4" s="66"/>
      <c r="AB4" s="32" t="s">
        <v>13</v>
      </c>
      <c r="AC4" s="32" t="s">
        <v>14</v>
      </c>
      <c r="AD4" s="32" t="s">
        <v>15</v>
      </c>
      <c r="AE4" s="32" t="s">
        <v>16</v>
      </c>
      <c r="AF4" s="33" t="s">
        <v>17</v>
      </c>
      <c r="AG4" s="33" t="s">
        <v>18</v>
      </c>
      <c r="AH4" s="33" t="s">
        <v>19</v>
      </c>
      <c r="AI4" s="32" t="s">
        <v>0</v>
      </c>
      <c r="AJ4" s="32" t="s">
        <v>1</v>
      </c>
      <c r="AK4" s="32" t="s">
        <v>2</v>
      </c>
      <c r="AL4" s="32" t="s">
        <v>3</v>
      </c>
      <c r="AM4" s="32" t="s">
        <v>4</v>
      </c>
      <c r="AN4" s="32" t="s">
        <v>22</v>
      </c>
    </row>
    <row r="5" spans="1:40" ht="20.100000000000001" customHeight="1">
      <c r="A5" s="32"/>
      <c r="B5" s="24" t="s">
        <v>62</v>
      </c>
      <c r="C5" s="35" t="s">
        <v>27</v>
      </c>
      <c r="D5" s="28" t="s">
        <v>27</v>
      </c>
      <c r="E5" s="36">
        <f>'내진 우선순위 자료'!Q5</f>
        <v>352.12590144230768</v>
      </c>
      <c r="F5" s="36" t="str">
        <f>'내진 우선순위 자료'!E5</f>
        <v>SP</v>
      </c>
      <c r="G5" s="36" t="str">
        <f>'내진 우선순위 자료'!I5</f>
        <v>S3</v>
      </c>
      <c r="H5" s="41">
        <f>'내진 우선순위 자료'!F5</f>
        <v>1000</v>
      </c>
      <c r="I5" s="38" t="s">
        <v>52</v>
      </c>
      <c r="J5" s="38" t="s">
        <v>53</v>
      </c>
      <c r="K5" s="40" t="str">
        <f>IF(F5="SP","강결","볼팅")</f>
        <v>강결</v>
      </c>
      <c r="L5" s="39" t="s">
        <v>61</v>
      </c>
      <c r="M5" s="37">
        <f>IF(E5&lt;5,10,IF(E5&gt;20,6,8))</f>
        <v>6</v>
      </c>
      <c r="N5" s="42">
        <f>IF(F5="SP",1,0.8)</f>
        <v>1</v>
      </c>
      <c r="O5" s="42">
        <f>IF(G5="S1",1,IF(G5="S2",1.3,IF(G5="S3",1.5,IF(G5="S4",1.3,IF(G5="S5",1.5,2)))))</f>
        <v>1.5</v>
      </c>
      <c r="P5" s="42">
        <f>IF(H5&lt;500,1,IF(H5&gt;1500,0.5,0.8))</f>
        <v>0.8</v>
      </c>
      <c r="Q5" s="43">
        <v>0.5</v>
      </c>
      <c r="R5" s="43">
        <v>1</v>
      </c>
      <c r="S5" s="44">
        <f>IF(K5="강결",1,0.7)</f>
        <v>1</v>
      </c>
      <c r="T5" s="45">
        <f>M5*(N5+O5+P5+Q5+R5+S5)</f>
        <v>34.799999999999997</v>
      </c>
      <c r="U5" s="4" t="str">
        <f>IF(L5="2그룹","내진보강 유보시설",IF(T5&gt;40,"내진보강 중요시설","내진보강유보시설"))</f>
        <v>내진보강유보시설</v>
      </c>
      <c r="V5" s="9">
        <v>120.5</v>
      </c>
      <c r="W5" s="17">
        <v>1994</v>
      </c>
      <c r="X5" s="17">
        <v>156.80000000000001</v>
      </c>
      <c r="Y5" s="10" t="s">
        <v>25</v>
      </c>
      <c r="Z5" s="12"/>
      <c r="AA5" s="5" t="e">
        <f t="shared" ref="AA5" si="0">+IF(AC5&gt;=1,"","None")</f>
        <v>#REF!</v>
      </c>
      <c r="AB5" s="13" t="e">
        <f>+IF(+IF(Y5="수격압",210/#REF!,140/#REF!)&gt;=2,"2.0이상",+IF(Y5="수격압",210/#REF!,140/#REF!))</f>
        <v>#REF!</v>
      </c>
      <c r="AC5" s="13" t="e">
        <f>+IF(140/#REF!&gt;=2,"2.0이상",140/#REF!)</f>
        <v>#REF!</v>
      </c>
      <c r="AD5" s="13" t="e">
        <f>+IF(5/#REF!&gt;=2,"2.0이상",5/#REF!)</f>
        <v>#REF!</v>
      </c>
      <c r="AE5" s="13" t="e">
        <f>+IF(#REF!/#REF!&gt;=2,"2.0이상",#REF!/#REF!)</f>
        <v>#REF!</v>
      </c>
      <c r="AF5" s="14">
        <f>+IF(M5=60,0.189,IF(M5=90,0.157,IF(M5=120,0.138,0.128)))</f>
        <v>0.128</v>
      </c>
      <c r="AG5" s="10">
        <f>+IF(M5=60,0.103,IF(M5=90,0.096,IF(M5=120,0.089,0.085)))</f>
        <v>8.5000000000000006E-2</v>
      </c>
      <c r="AH5" s="21" t="e">
        <f>2*#REF!/10+100</f>
        <v>#REF!</v>
      </c>
      <c r="AI5" s="10" t="e">
        <f>+(#REF!/10)^2/6</f>
        <v>#REF!</v>
      </c>
      <c r="AJ5" s="10" t="e">
        <f>+((#REF!/10)/2+(#REF!/10))</f>
        <v>#REF!</v>
      </c>
      <c r="AK5" s="10" t="e">
        <f>+(#REF!/10)^3/12</f>
        <v>#REF!</v>
      </c>
      <c r="AL5" s="11" t="e">
        <f>+IF(L5/(#REF!/1000)&gt;=2,2.5,3)</f>
        <v>#VALUE!</v>
      </c>
      <c r="AM5" s="16" t="e">
        <f>(0.15+0.041*(L5/(#REF!/1000)))</f>
        <v>#VALUE!</v>
      </c>
      <c r="AN5" s="23">
        <v>69</v>
      </c>
    </row>
    <row r="6" spans="1:40">
      <c r="X6" s="9">
        <v>94.9</v>
      </c>
    </row>
    <row r="7" spans="1:40">
      <c r="S7" s="22" t="s">
        <v>26</v>
      </c>
      <c r="T7" s="6">
        <v>9600</v>
      </c>
    </row>
    <row r="10" spans="1:40">
      <c r="V10" s="9">
        <v>20000</v>
      </c>
    </row>
    <row r="11" spans="1:40">
      <c r="V11" s="9">
        <v>8</v>
      </c>
    </row>
    <row r="12" spans="1:40">
      <c r="AA12" s="6">
        <f>43200/43830</f>
        <v>0.98562628336755642</v>
      </c>
    </row>
  </sheetData>
  <mergeCells count="16">
    <mergeCell ref="A1:U1"/>
    <mergeCell ref="A3:A4"/>
    <mergeCell ref="B3:B4"/>
    <mergeCell ref="C3:C4"/>
    <mergeCell ref="D3:D4"/>
    <mergeCell ref="AB3:AE3"/>
    <mergeCell ref="AF3:AN3"/>
    <mergeCell ref="L3:L4"/>
    <mergeCell ref="E3:K3"/>
    <mergeCell ref="M3:T3"/>
    <mergeCell ref="U3:U4"/>
    <mergeCell ref="V3:V4"/>
    <mergeCell ref="W3:W4"/>
    <mergeCell ref="X3:X4"/>
    <mergeCell ref="Y3:Y4"/>
    <mergeCell ref="AA3:AA4"/>
  </mergeCells>
  <phoneticPr fontId="3" type="noConversion"/>
  <printOptions horizontalCentered="1"/>
  <pageMargins left="0.70866141732283472" right="0.47244094488188981" top="0.59055118110236227" bottom="0.59055118110236227" header="0.39370078740157483" footer="0.39370078740157483"/>
  <pageSetup paperSize="9" scale="72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4</vt:i4>
      </vt:variant>
    </vt:vector>
  </HeadingPairs>
  <TitlesOfParts>
    <vt:vector size="6" baseType="lpstr">
      <vt:lpstr>내진 우선순위 자료</vt:lpstr>
      <vt:lpstr>내진 우선순위 결과표</vt:lpstr>
      <vt:lpstr>'내진 우선순위 결과표'!Print_Area</vt:lpstr>
      <vt:lpstr>'내진 우선순위 자료'!Print_Area</vt:lpstr>
      <vt:lpstr>'내진 우선순위 결과표'!Print_Titles</vt:lpstr>
      <vt:lpstr>'내진 우선순위 자료'!Print_Titles</vt:lpstr>
    </vt:vector>
  </TitlesOfParts>
  <Company>진단2본부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진단6팀</dc:creator>
  <cp:lastModifiedBy>남성주</cp:lastModifiedBy>
  <cp:lastPrinted>2024-10-18T05:04:55Z</cp:lastPrinted>
  <dcterms:created xsi:type="dcterms:W3CDTF">2011-03-16T22:57:23Z</dcterms:created>
  <dcterms:modified xsi:type="dcterms:W3CDTF">2025-01-15T06:10:54Z</dcterms:modified>
</cp:coreProperties>
</file>