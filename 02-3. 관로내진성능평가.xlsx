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현재_통합_문서" defaultThemeVersion="124226"/>
  <bookViews>
    <workbookView xWindow="-28920" yWindow="-180" windowWidth="29040" windowHeight="15840" tabRatio="927" firstSheet="1" activeTab="1"/>
  </bookViews>
  <sheets>
    <sheet name="검토결과 요약(인쇄X)" sheetId="62" state="hidden" r:id="rId1"/>
    <sheet name="하안송수관로 01(01)" sheetId="78" r:id="rId2"/>
    <sheet name="주철관 Sta.No 0+0.0" sheetId="30" state="hidden" r:id="rId3"/>
    <sheet name="설계응답스펙트럼(출력 X)" sheetId="23" state="hidden" r:id="rId4"/>
  </sheets>
  <externalReferences>
    <externalReference r:id="rId5"/>
    <externalReference r:id="rId6"/>
  </externalReferences>
  <definedNames>
    <definedName name="_Sort" localSheetId="3" hidden="1">#REF!</definedName>
    <definedName name="_Sort" localSheetId="2" hidden="1">'[1]6PILE  (돌출)'!#REF!</definedName>
    <definedName name="_Sort" localSheetId="1" hidden="1">'[1]6PILE  (돌출)'!#REF!</definedName>
    <definedName name="_Sort" hidden="1">'[1]6PILE  (돌출)'!#REF!</definedName>
    <definedName name="aaaaaaa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b_1">[2]가정단면!$Q$28</definedName>
    <definedName name="_xlnm.Print_Area" localSheetId="2">'주철관 Sta.No 0+0.0'!$A$1:$Z$386</definedName>
    <definedName name="_xlnm.Print_Area" localSheetId="1">'하안송수관로 01(01)'!$A$1:$Z$390</definedName>
    <definedName name="wrn.교대." localSheetId="2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localSheetId="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파일" localSheetId="3" hidden="1">#REF!</definedName>
    <definedName name="파일" hidden="1">#REF!</definedName>
  </definedNames>
  <calcPr calcId="1445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9" i="78" l="1"/>
  <c r="O29" i="78" s="1"/>
  <c r="S29" i="78" s="1"/>
  <c r="L30" i="78"/>
  <c r="O30" i="78" s="1"/>
  <c r="S30" i="78" s="1"/>
  <c r="L31" i="78"/>
  <c r="O31" i="78" s="1"/>
  <c r="S31" i="78" s="1"/>
  <c r="L32" i="78"/>
  <c r="O32" i="78"/>
  <c r="S32" i="78" s="1"/>
  <c r="AA25" i="78" l="1"/>
  <c r="AA26" i="78" s="1"/>
  <c r="AA27" i="78" s="1"/>
  <c r="AA28" i="78" s="1"/>
  <c r="AA29" i="78" s="1"/>
  <c r="AA30" i="78" s="1"/>
  <c r="AA31" i="78" s="1"/>
  <c r="AA32" i="78" s="1"/>
  <c r="AA33" i="78" s="1"/>
  <c r="C8" i="62"/>
  <c r="B8" i="62"/>
  <c r="G8" i="62"/>
  <c r="H8" i="62"/>
  <c r="I8" i="62"/>
  <c r="J8" i="62"/>
  <c r="L28" i="78"/>
  <c r="O28" i="78" s="1"/>
  <c r="S28" i="78" s="1"/>
  <c r="C7" i="62"/>
  <c r="B7" i="62"/>
  <c r="I7" i="62"/>
  <c r="N8" i="62" l="1"/>
  <c r="E8" i="62"/>
  <c r="E7" i="62"/>
  <c r="N7" i="62" l="1"/>
  <c r="D8" i="62" l="1"/>
  <c r="F8" i="62" l="1"/>
  <c r="D7" i="62"/>
  <c r="K7" i="62" l="1"/>
  <c r="F7" i="62"/>
  <c r="K8" i="62" l="1"/>
  <c r="L8" i="62" l="1"/>
  <c r="M8" i="62" l="1"/>
  <c r="O8" i="62" s="1"/>
  <c r="L7" i="62"/>
  <c r="M7" i="62" l="1"/>
  <c r="O7" i="62" s="1"/>
  <c r="C9" i="62" l="1"/>
  <c r="B9" i="62"/>
  <c r="AB325" i="78"/>
  <c r="V299" i="78"/>
  <c r="R299" i="78"/>
  <c r="G295" i="78"/>
  <c r="N294" i="78"/>
  <c r="R295" i="78" s="1"/>
  <c r="P278" i="78"/>
  <c r="P275" i="78"/>
  <c r="I272" i="78"/>
  <c r="AC249" i="78"/>
  <c r="AC248" i="78"/>
  <c r="U180" i="78"/>
  <c r="I180" i="78"/>
  <c r="U179" i="78"/>
  <c r="I179" i="78"/>
  <c r="H185" i="78" s="1"/>
  <c r="H173" i="78"/>
  <c r="J175" i="78" s="1"/>
  <c r="H172" i="78"/>
  <c r="N175" i="78" s="1"/>
  <c r="H160" i="78"/>
  <c r="U158" i="78" s="1"/>
  <c r="D154" i="78"/>
  <c r="H148" i="78"/>
  <c r="M148" i="78" s="1"/>
  <c r="N154" i="78" s="1"/>
  <c r="W119" i="78"/>
  <c r="R140" i="78" s="1"/>
  <c r="W114" i="78"/>
  <c r="L137" i="78" s="1"/>
  <c r="AB78" i="78" a="1"/>
  <c r="AB78" i="78" s="1"/>
  <c r="AC78" i="78" s="1"/>
  <c r="J78" i="78" s="1"/>
  <c r="J91" i="78" s="1"/>
  <c r="L40" i="78"/>
  <c r="O40" i="78" s="1"/>
  <c r="S40" i="78" s="1"/>
  <c r="L39" i="78"/>
  <c r="O39" i="78" s="1"/>
  <c r="S39" i="78" s="1"/>
  <c r="L38" i="78"/>
  <c r="O38" i="78" s="1"/>
  <c r="S38" i="78" s="1"/>
  <c r="L37" i="78"/>
  <c r="O37" i="78" s="1"/>
  <c r="S37" i="78" s="1"/>
  <c r="L36" i="78"/>
  <c r="O36" i="78" s="1"/>
  <c r="S36" i="78" s="1"/>
  <c r="L35" i="78"/>
  <c r="O35" i="78" s="1"/>
  <c r="S35" i="78" s="1"/>
  <c r="L34" i="78"/>
  <c r="O34" i="78" s="1"/>
  <c r="S34" i="78" s="1"/>
  <c r="L33" i="78"/>
  <c r="O33" i="78" s="1"/>
  <c r="S33" i="78" s="1"/>
  <c r="L27" i="78"/>
  <c r="O27" i="78" s="1"/>
  <c r="S27" i="78" s="1"/>
  <c r="L26" i="78"/>
  <c r="O26" i="78" s="1"/>
  <c r="S26" i="78" s="1"/>
  <c r="L25" i="78"/>
  <c r="O25" i="78" s="1"/>
  <c r="S25" i="78" s="1"/>
  <c r="K17" i="78"/>
  <c r="R17" i="78" s="1"/>
  <c r="K16" i="78"/>
  <c r="R16" i="78" s="1"/>
  <c r="R15" i="78"/>
  <c r="R14" i="78"/>
  <c r="V297" i="78" s="1"/>
  <c r="R13" i="78"/>
  <c r="R297" i="78" s="1"/>
  <c r="R12" i="78"/>
  <c r="H149" i="78" s="1"/>
  <c r="R9" i="78"/>
  <c r="H158" i="78" s="1"/>
  <c r="R4" i="78"/>
  <c r="H145" i="78" s="1"/>
  <c r="G154" i="78" s="1"/>
  <c r="J9" i="62"/>
  <c r="I9" i="62"/>
  <c r="H9" i="62"/>
  <c r="G9" i="62"/>
  <c r="C6" i="62"/>
  <c r="B6" i="62"/>
  <c r="J6" i="62"/>
  <c r="I6" i="62"/>
  <c r="H6" i="62"/>
  <c r="G6" i="62"/>
  <c r="E6" i="62"/>
  <c r="R136" i="78" l="1"/>
  <c r="D176" i="78"/>
  <c r="H176" i="78" s="1"/>
  <c r="M329" i="78" s="1"/>
  <c r="AD327" i="78" s="1"/>
  <c r="AH122" i="78"/>
  <c r="AH121" i="78"/>
  <c r="V5" i="78"/>
  <c r="AD74" i="78" s="1"/>
  <c r="I300" i="78"/>
  <c r="N323" i="78" s="1"/>
  <c r="M333" i="78" s="1"/>
  <c r="AI327" i="78" s="1"/>
  <c r="N9" i="62" s="1"/>
  <c r="AB79" i="78" a="1"/>
  <c r="AB79" i="78" s="1"/>
  <c r="M183" i="78"/>
  <c r="I298" i="78"/>
  <c r="B78" i="78"/>
  <c r="N317" i="78"/>
  <c r="E9" i="62" s="1"/>
  <c r="R249" i="78"/>
  <c r="N315" i="78"/>
  <c r="R248" i="78"/>
  <c r="J295" i="78"/>
  <c r="T286" i="78"/>
  <c r="U159" i="78"/>
  <c r="U160" i="78" s="1"/>
  <c r="I181" i="78"/>
  <c r="AD78" i="78"/>
  <c r="N78" i="78" s="1"/>
  <c r="Q121" i="78"/>
  <c r="AH124" i="78"/>
  <c r="AH125" i="78"/>
  <c r="L141" i="78"/>
  <c r="R154" i="78"/>
  <c r="N295" i="78"/>
  <c r="AB124" i="78"/>
  <c r="AB121" i="78"/>
  <c r="H147" i="78"/>
  <c r="K154" i="78" s="1"/>
  <c r="Q124" i="78"/>
  <c r="S264" i="78" l="1"/>
  <c r="N300" i="78"/>
  <c r="N301" i="78" s="1"/>
  <c r="V295" i="78"/>
  <c r="I301" i="78" s="1"/>
  <c r="R301" i="78" s="1"/>
  <c r="L303" i="78" s="1"/>
  <c r="U154" i="78"/>
  <c r="D155" i="78" s="1"/>
  <c r="M327" i="78" s="1"/>
  <c r="AB327" i="78" s="1"/>
  <c r="L269" i="78"/>
  <c r="B91" i="78"/>
  <c r="V78" i="78"/>
  <c r="R78" i="78"/>
  <c r="F78" i="78"/>
  <c r="F91" i="78" s="1"/>
  <c r="L122" i="78"/>
  <c r="I122" i="78"/>
  <c r="T121" i="78"/>
  <c r="N322" i="78"/>
  <c r="N298" i="78"/>
  <c r="D165" i="78"/>
  <c r="O168" i="78" s="1"/>
  <c r="S168" i="78" s="1"/>
  <c r="M328" i="78" s="1"/>
  <c r="AC327" i="78" s="1"/>
  <c r="AC79" i="78"/>
  <c r="J79" i="78" s="1"/>
  <c r="J92" i="78" s="1"/>
  <c r="B79" i="78"/>
  <c r="AD79" i="78"/>
  <c r="N79" i="78" s="1"/>
  <c r="AB80" i="78" a="1"/>
  <c r="AB80" i="78" s="1"/>
  <c r="L125" i="78"/>
  <c r="T124" i="78"/>
  <c r="I125" i="78"/>
  <c r="N91" i="78"/>
  <c r="R91" i="78" s="1"/>
  <c r="AD80" i="78" l="1"/>
  <c r="N80" i="78" s="1"/>
  <c r="AC80" i="78"/>
  <c r="J80" i="78" s="1"/>
  <c r="J93" i="78" s="1"/>
  <c r="B80" i="78"/>
  <c r="V91" i="78"/>
  <c r="N92" i="78"/>
  <c r="R92" i="78" s="1"/>
  <c r="B92" i="78"/>
  <c r="F79" i="78"/>
  <c r="F92" i="78" s="1"/>
  <c r="V79" i="78"/>
  <c r="R79" i="78"/>
  <c r="AB81" i="78" a="1"/>
  <c r="AB81" i="78" s="1"/>
  <c r="B81" i="78" l="1"/>
  <c r="AD81" i="78"/>
  <c r="N81" i="78" s="1"/>
  <c r="AC81" i="78"/>
  <c r="J81" i="78" s="1"/>
  <c r="J94" i="78" s="1"/>
  <c r="R80" i="78"/>
  <c r="B93" i="78"/>
  <c r="V80" i="78"/>
  <c r="F80" i="78"/>
  <c r="F93" i="78" s="1"/>
  <c r="V92" i="78"/>
  <c r="AB82" i="78" a="1"/>
  <c r="AB82" i="78" s="1"/>
  <c r="AB83" i="78" s="1" a="1"/>
  <c r="AB83" i="78" s="1"/>
  <c r="N93" i="78"/>
  <c r="R93" i="78" s="1"/>
  <c r="AD83" i="78" l="1"/>
  <c r="N83" i="78" s="1"/>
  <c r="AC83" i="78"/>
  <c r="J83" i="78" s="1"/>
  <c r="J96" i="78" s="1"/>
  <c r="B83" i="78"/>
  <c r="V93" i="78"/>
  <c r="B82" i="78"/>
  <c r="AD82" i="78"/>
  <c r="N82" i="78" s="1"/>
  <c r="AC82" i="78"/>
  <c r="J82" i="78" s="1"/>
  <c r="J95" i="78" s="1"/>
  <c r="N94" i="78"/>
  <c r="R94" i="78" s="1"/>
  <c r="AB84" i="78" a="1"/>
  <c r="AB84" i="78" s="1"/>
  <c r="B94" i="78"/>
  <c r="V81" i="78"/>
  <c r="R81" i="78"/>
  <c r="F81" i="78"/>
  <c r="F94" i="78" s="1"/>
  <c r="N95" i="78" l="1"/>
  <c r="R95" i="78" s="1"/>
  <c r="B84" i="78"/>
  <c r="AD84" i="78"/>
  <c r="N84" i="78" s="1"/>
  <c r="AC84" i="78"/>
  <c r="J84" i="78" s="1"/>
  <c r="J97" i="78" s="1"/>
  <c r="B96" i="78"/>
  <c r="V83" i="78"/>
  <c r="R83" i="78"/>
  <c r="V94" i="78"/>
  <c r="B95" i="78"/>
  <c r="F82" i="78"/>
  <c r="F95" i="78" s="1"/>
  <c r="R82" i="78"/>
  <c r="V82" i="78"/>
  <c r="N96" i="78"/>
  <c r="R96" i="78" s="1"/>
  <c r="V96" i="78" l="1"/>
  <c r="F83" i="78"/>
  <c r="F96" i="78" s="1"/>
  <c r="V95" i="78"/>
  <c r="N97" i="78"/>
  <c r="R97" i="78" s="1"/>
  <c r="K74" i="78"/>
  <c r="B97" i="78"/>
  <c r="V97" i="78" s="1"/>
  <c r="V84" i="78"/>
  <c r="R84" i="78"/>
  <c r="F84" i="78"/>
  <c r="F97" i="78" s="1"/>
  <c r="K75" i="78" l="1"/>
  <c r="G206" i="78" s="1"/>
  <c r="P88" i="78"/>
  <c r="B206" i="78"/>
  <c r="K8" i="78"/>
  <c r="O74" i="78"/>
  <c r="P75" i="30"/>
  <c r="K65" i="30"/>
  <c r="R201" i="78" l="1"/>
  <c r="X264" i="78" s="1"/>
  <c r="L206" i="78"/>
  <c r="L268" i="78"/>
  <c r="V275" i="78"/>
  <c r="D276" i="78" s="1"/>
  <c r="V278" i="78"/>
  <c r="D279" i="78" s="1"/>
  <c r="AC102" i="78"/>
  <c r="AE125" i="78" l="1"/>
  <c r="AE124" i="78"/>
  <c r="L124" i="78" s="1"/>
  <c r="AD122" i="78"/>
  <c r="AD121" i="78"/>
  <c r="I121" i="78" s="1"/>
  <c r="AD125" i="78"/>
  <c r="AD124" i="78"/>
  <c r="I124" i="78" s="1"/>
  <c r="AC122" i="78"/>
  <c r="AC121" i="78"/>
  <c r="E121" i="78" s="1"/>
  <c r="N314" i="78"/>
  <c r="D9" i="62" s="1"/>
  <c r="AC125" i="78"/>
  <c r="AC124" i="78"/>
  <c r="E124" i="78" s="1"/>
  <c r="AE122" i="78"/>
  <c r="AE121" i="78"/>
  <c r="L121" i="78" s="1"/>
  <c r="I115" i="78"/>
  <c r="O137" i="78" s="1"/>
  <c r="R137" i="78" s="1"/>
  <c r="N316" i="78" s="1"/>
  <c r="I116" i="78"/>
  <c r="D280" i="78"/>
  <c r="U181" i="78" s="1"/>
  <c r="M184" i="78" s="1"/>
  <c r="P286" i="78"/>
  <c r="D287" i="78" s="1"/>
  <c r="D277" i="78"/>
  <c r="M285" i="78"/>
  <c r="R202" i="78"/>
  <c r="N319" i="78" s="1"/>
  <c r="Q206" i="78"/>
  <c r="R203" i="78" s="1"/>
  <c r="X124" i="78" l="1"/>
  <c r="D185" i="78"/>
  <c r="M185" i="78" s="1"/>
  <c r="S186" i="78" s="1"/>
  <c r="N320" i="78"/>
  <c r="R250" i="78"/>
  <c r="X121" i="78"/>
  <c r="O141" i="78" s="1"/>
  <c r="R141" i="78" s="1"/>
  <c r="N318" i="78" s="1"/>
  <c r="F9" i="62" s="1"/>
  <c r="R9" i="30"/>
  <c r="S188" i="78" l="1"/>
  <c r="I191" i="78" s="1"/>
  <c r="L193" i="78" s="1"/>
  <c r="P193" i="78" s="1"/>
  <c r="M330" i="78" s="1"/>
  <c r="I268" i="78"/>
  <c r="P268" i="78" s="1"/>
  <c r="L264" i="78"/>
  <c r="AE254" i="78"/>
  <c r="AE253" i="78" s="1"/>
  <c r="I269" i="78"/>
  <c r="P269" i="78" s="1"/>
  <c r="V254" i="78" l="1"/>
  <c r="V256" i="78"/>
  <c r="R254" i="78"/>
  <c r="R256" i="78"/>
  <c r="V255" i="78"/>
  <c r="R255" i="78"/>
  <c r="R271" i="78"/>
  <c r="AE327" i="78"/>
  <c r="AF327" i="78" s="1"/>
  <c r="K9" i="62" s="1"/>
  <c r="P284" i="78" l="1"/>
  <c r="D303" i="78"/>
  <c r="M272" i="78"/>
  <c r="R272" i="78" s="1"/>
  <c r="I264" i="78"/>
  <c r="D265" i="78" s="1"/>
  <c r="L284" i="78" s="1"/>
  <c r="N321" i="78"/>
  <c r="S284" i="78" l="1"/>
  <c r="D289" i="78"/>
  <c r="D288" i="78"/>
  <c r="E305" i="78"/>
  <c r="H303" i="78"/>
  <c r="J291" i="78" l="1"/>
  <c r="E306" i="78" s="1"/>
  <c r="E307" i="78" s="1"/>
  <c r="K307" i="78" s="1"/>
  <c r="M331" i="78" s="1"/>
  <c r="AG327" i="78" s="1"/>
  <c r="L9" i="62" s="1"/>
  <c r="J290" i="78"/>
  <c r="M332" i="78" l="1"/>
  <c r="S332" i="78" s="1"/>
  <c r="AH327" i="78" l="1"/>
  <c r="M9" i="62" s="1"/>
  <c r="O9" i="62" s="1"/>
  <c r="AB303" i="30" l="1"/>
  <c r="M319" i="30" l="1"/>
  <c r="M309" i="30"/>
  <c r="L52" i="30" l="1"/>
  <c r="O52" i="30" s="1"/>
  <c r="L53" i="30"/>
  <c r="O53" i="30" s="1"/>
  <c r="N69" i="30" s="1"/>
  <c r="L55" i="30"/>
  <c r="O55" i="30" s="1"/>
  <c r="S55" i="30" s="1"/>
  <c r="L54" i="30"/>
  <c r="O54" i="30" s="1"/>
  <c r="J71" i="30"/>
  <c r="J81" i="30" s="1"/>
  <c r="J70" i="30"/>
  <c r="J80" i="30" s="1"/>
  <c r="J69" i="30"/>
  <c r="J68" i="30"/>
  <c r="AC71" i="30" l="1"/>
  <c r="AC68" i="30"/>
  <c r="AC70" i="30"/>
  <c r="AC69" i="30"/>
  <c r="AD69" i="30" s="1"/>
  <c r="J78" i="30"/>
  <c r="J79" i="30"/>
  <c r="S52" i="30"/>
  <c r="U52" i="30" s="1"/>
  <c r="N78" i="30" s="1"/>
  <c r="L251" i="30"/>
  <c r="S54" i="30"/>
  <c r="U54" i="30" s="1"/>
  <c r="N80" i="30" s="1"/>
  <c r="U55" i="30"/>
  <c r="N81" i="30" s="1"/>
  <c r="N68" i="30"/>
  <c r="S53" i="30"/>
  <c r="U53" i="30" s="1"/>
  <c r="N79" i="30" s="1"/>
  <c r="B188" i="30" l="1"/>
  <c r="AC81" i="30"/>
  <c r="AD81" i="30" s="1"/>
  <c r="AC78" i="30"/>
  <c r="AD78" i="30" s="1"/>
  <c r="AC80" i="30"/>
  <c r="AD80" i="30" s="1"/>
  <c r="AC79" i="30"/>
  <c r="AD79" i="30" s="1"/>
  <c r="AD68" i="30"/>
  <c r="N6" i="62" l="1"/>
  <c r="P260" i="30" l="1"/>
  <c r="P257" i="30"/>
  <c r="I254" i="30"/>
  <c r="AC231" i="30"/>
  <c r="AC230" i="30"/>
  <c r="H172" i="30"/>
  <c r="Q174" i="30" s="1"/>
  <c r="H171" i="30"/>
  <c r="H165" i="30"/>
  <c r="M167" i="30" s="1"/>
  <c r="H164" i="30"/>
  <c r="Q167" i="30" s="1"/>
  <c r="H148" i="30"/>
  <c r="U146" i="30" s="1"/>
  <c r="D138" i="30"/>
  <c r="H133" i="30"/>
  <c r="N133" i="30" s="1"/>
  <c r="S133" i="30" s="1"/>
  <c r="W104" i="30"/>
  <c r="Q109" i="30" s="1"/>
  <c r="W99" i="30"/>
  <c r="R121" i="30" s="1"/>
  <c r="B71" i="30"/>
  <c r="B70" i="30"/>
  <c r="B69" i="30"/>
  <c r="B79" i="30" s="1"/>
  <c r="R79" i="30" s="1"/>
  <c r="B68" i="30"/>
  <c r="B78" i="30" s="1"/>
  <c r="R78" i="30" s="1"/>
  <c r="AC17" i="30"/>
  <c r="K17" i="30" s="1"/>
  <c r="R17" i="30" s="1"/>
  <c r="R15" i="30"/>
  <c r="R14" i="30"/>
  <c r="V5" i="30" s="1"/>
  <c r="R13" i="30"/>
  <c r="R12" i="30"/>
  <c r="AE247" i="30" s="1"/>
  <c r="H146" i="30"/>
  <c r="R4" i="30"/>
  <c r="H130" i="30" s="1"/>
  <c r="G138" i="30" s="1"/>
  <c r="T167" i="30" l="1"/>
  <c r="D168" i="30" s="1"/>
  <c r="M315" i="30" s="1"/>
  <c r="AD313" i="30" s="1"/>
  <c r="D269" i="30"/>
  <c r="V70" i="30"/>
  <c r="B80" i="30"/>
  <c r="R80" i="30" s="1"/>
  <c r="V71" i="30"/>
  <c r="B81" i="30"/>
  <c r="R81" i="30" s="1"/>
  <c r="L250" i="30" s="1"/>
  <c r="M174" i="30"/>
  <c r="D175" i="30" s="1"/>
  <c r="M316" i="30" s="1"/>
  <c r="AE313" i="30" s="1"/>
  <c r="N70" i="30"/>
  <c r="Q106" i="30"/>
  <c r="AE251" i="30"/>
  <c r="L122" i="30"/>
  <c r="H132" i="30"/>
  <c r="K138" i="30" s="1"/>
  <c r="S246" i="30"/>
  <c r="AD64" i="30"/>
  <c r="N293" i="30"/>
  <c r="R230" i="30"/>
  <c r="U147" i="30"/>
  <c r="U148" i="30" s="1"/>
  <c r="AE248" i="30"/>
  <c r="V69" i="30"/>
  <c r="N138" i="30"/>
  <c r="R138" i="30"/>
  <c r="T266" i="30"/>
  <c r="F68" i="30"/>
  <c r="AB68" i="30" s="1"/>
  <c r="N71" i="30"/>
  <c r="AD71" i="30" s="1"/>
  <c r="R125" i="30"/>
  <c r="L142" i="30"/>
  <c r="F71" i="30"/>
  <c r="S160" i="30"/>
  <c r="R69" i="30"/>
  <c r="R70" i="30"/>
  <c r="R71" i="30"/>
  <c r="L126" i="30"/>
  <c r="AE245" i="30"/>
  <c r="F70" i="30"/>
  <c r="K16" i="30"/>
  <c r="R16" i="30" s="1"/>
  <c r="S142" i="30"/>
  <c r="L160" i="30"/>
  <c r="G188" i="30" l="1"/>
  <c r="L188" i="30" s="1"/>
  <c r="AD70" i="30"/>
  <c r="F81" i="30"/>
  <c r="AB81" i="30" s="1"/>
  <c r="AB71" i="30"/>
  <c r="F80" i="30"/>
  <c r="AB80" i="30" s="1"/>
  <c r="AB70" i="30"/>
  <c r="V257" i="30"/>
  <c r="V260" i="30"/>
  <c r="F69" i="30"/>
  <c r="F78" i="30"/>
  <c r="AB78" i="30" s="1"/>
  <c r="R68" i="30"/>
  <c r="D153" i="30"/>
  <c r="O156" i="30" s="1"/>
  <c r="U138" i="30"/>
  <c r="O142" i="30" s="1"/>
  <c r="D143" i="30" s="1"/>
  <c r="M313" i="30" s="1"/>
  <c r="AB313" i="30" s="1"/>
  <c r="R183" i="30"/>
  <c r="K64" i="30"/>
  <c r="O64" i="30" s="1"/>
  <c r="AE246" i="30"/>
  <c r="V68" i="30"/>
  <c r="R231" i="30"/>
  <c r="N295" i="30"/>
  <c r="R184" i="30" l="1"/>
  <c r="N297" i="30" s="1"/>
  <c r="F79" i="30"/>
  <c r="AB79" i="30" s="1"/>
  <c r="AB69" i="30"/>
  <c r="U156" i="30"/>
  <c r="M306" i="30" s="1"/>
  <c r="AC305" i="30" s="1"/>
  <c r="O160" i="30"/>
  <c r="D161" i="30" s="1"/>
  <c r="M314" i="30" s="1"/>
  <c r="AC313" i="30" s="1"/>
  <c r="D139" i="30"/>
  <c r="M305" i="30" s="1"/>
  <c r="AB305" i="30" s="1"/>
  <c r="Q188" i="30"/>
  <c r="R185" i="30" s="1"/>
  <c r="N298" i="30" s="1"/>
  <c r="K8" i="30"/>
  <c r="AC88" i="30"/>
  <c r="X246" i="30"/>
  <c r="D261" i="30"/>
  <c r="D258" i="30"/>
  <c r="R232" i="30" l="1"/>
  <c r="AE236" i="30" s="1"/>
  <c r="D259" i="30"/>
  <c r="AE249" i="30"/>
  <c r="AE259" i="30" s="1"/>
  <c r="M265" i="30"/>
  <c r="L106" i="30"/>
  <c r="N292" i="30"/>
  <c r="I106" i="30"/>
  <c r="E106" i="30"/>
  <c r="L109" i="30"/>
  <c r="I109" i="30"/>
  <c r="I101" i="30"/>
  <c r="E109" i="30"/>
  <c r="I100" i="30"/>
  <c r="O122" i="30" s="1"/>
  <c r="R122" i="30" s="1"/>
  <c r="N294" i="30" s="1"/>
  <c r="D262" i="30"/>
  <c r="AE250" i="30"/>
  <c r="P266" i="30"/>
  <c r="D267" i="30" s="1"/>
  <c r="AE235" i="30"/>
  <c r="X106" i="30" l="1"/>
  <c r="O126" i="30" s="1"/>
  <c r="R126" i="30" s="1"/>
  <c r="N296" i="30" s="1"/>
  <c r="V237" i="30"/>
  <c r="V238" i="30"/>
  <c r="R237" i="30"/>
  <c r="R238" i="30"/>
  <c r="V236" i="30"/>
  <c r="R236" i="30"/>
  <c r="AE258" i="30"/>
  <c r="AE260" i="30"/>
  <c r="X109" i="30"/>
  <c r="P279" i="30"/>
  <c r="I250" i="30"/>
  <c r="P250" i="30" s="1"/>
  <c r="L246" i="30"/>
  <c r="I251" i="30"/>
  <c r="P251" i="30" s="1"/>
  <c r="N299" i="30" l="1"/>
  <c r="I246" i="30"/>
  <c r="D247" i="30" s="1"/>
  <c r="J283" i="30" s="1"/>
  <c r="R253" i="30"/>
  <c r="D271" i="30" s="1"/>
  <c r="M254" i="30" l="1"/>
  <c r="R254" i="30" s="1"/>
  <c r="AE252" i="30"/>
  <c r="K268" i="30"/>
  <c r="D273" i="30" s="1"/>
  <c r="J273" i="30" s="1"/>
  <c r="N275" i="30" s="1"/>
  <c r="J271" i="30"/>
  <c r="D270" i="30" l="1"/>
  <c r="J270" i="30"/>
  <c r="AE254" i="30"/>
  <c r="AE256" i="30"/>
  <c r="AL247" i="30"/>
  <c r="AE253" i="30"/>
  <c r="P280" i="30"/>
  <c r="D268" i="30"/>
  <c r="D272" i="30" s="1"/>
  <c r="J272" i="30" s="1"/>
  <c r="N274" i="30" s="1"/>
  <c r="P281" i="30" l="1"/>
  <c r="J284" i="30" s="1"/>
  <c r="D282" i="30"/>
  <c r="AE255" i="30"/>
  <c r="AE257" i="30"/>
  <c r="AI254" i="30"/>
  <c r="AL255" i="30"/>
  <c r="AI253" i="30"/>
  <c r="AL246" i="30"/>
  <c r="AI248" i="30" l="1"/>
  <c r="AI249" i="30"/>
  <c r="AI247" i="30"/>
  <c r="AI246" i="30"/>
  <c r="J285" i="30"/>
  <c r="M317" i="30" s="1"/>
  <c r="AF313" i="30" s="1"/>
  <c r="AI258" i="30"/>
  <c r="AI259" i="30"/>
  <c r="AI256" i="30"/>
  <c r="AI257" i="30"/>
  <c r="AL252" i="30"/>
  <c r="AL249" i="30"/>
  <c r="AL250" i="30"/>
  <c r="AL251" i="30"/>
  <c r="M318" i="30" l="1"/>
  <c r="AG313" i="30" s="1"/>
  <c r="AI250" i="30"/>
  <c r="AI260" i="30"/>
  <c r="AO253" i="30" s="1"/>
  <c r="AI251" i="30"/>
  <c r="S318" i="30" l="1"/>
  <c r="AO255" i="30"/>
  <c r="Q270" i="30" s="1"/>
  <c r="J274" i="30" s="1"/>
  <c r="R274" i="30" s="1"/>
  <c r="AO251" i="30"/>
  <c r="AO250" i="30"/>
  <c r="AL257" i="30" s="1"/>
  <c r="AO249" i="30"/>
  <c r="AO252" i="30"/>
  <c r="AL256" i="30" l="1"/>
  <c r="AO256" i="30" s="1"/>
  <c r="Q271" i="30" s="1"/>
  <c r="J275" i="30" s="1"/>
  <c r="R275" i="30" s="1"/>
  <c r="J276" i="30" s="1"/>
  <c r="M307" i="30" s="1"/>
  <c r="AD305" i="30" s="1"/>
  <c r="M308" i="30" l="1"/>
  <c r="AE305" i="30" s="1"/>
  <c r="S308" i="30" l="1"/>
  <c r="H7" i="62" l="1"/>
  <c r="G7" i="62" l="1"/>
  <c r="D6" i="62" l="1"/>
  <c r="F6" i="62" l="1"/>
  <c r="J7" i="62" l="1"/>
  <c r="K6" i="62" l="1"/>
  <c r="L6" i="62" l="1"/>
  <c r="M6" i="62" l="1"/>
  <c r="O6" i="62" s="1"/>
  <c r="P8" i="23"/>
  <c r="P13" i="23" s="1"/>
  <c r="M8" i="23"/>
  <c r="F4" i="23"/>
  <c r="G4" i="23" s="1"/>
  <c r="H4" i="23" s="1"/>
  <c r="B4" i="23"/>
  <c r="B5" i="23" s="1"/>
  <c r="G3" i="23"/>
  <c r="H3" i="23" s="1"/>
  <c r="C3" i="23"/>
  <c r="D3" i="23" s="1"/>
  <c r="C5" i="23" l="1"/>
  <c r="D5" i="23" s="1"/>
  <c r="B6" i="23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B132" i="23" s="1"/>
  <c r="B133" i="23" s="1"/>
  <c r="B134" i="23" s="1"/>
  <c r="B135" i="23" s="1"/>
  <c r="B136" i="23" s="1"/>
  <c r="B137" i="23" s="1"/>
  <c r="B138" i="23" s="1"/>
  <c r="B139" i="23" s="1"/>
  <c r="B140" i="23" s="1"/>
  <c r="B141" i="23" s="1"/>
  <c r="B142" i="23" s="1"/>
  <c r="B143" i="23" s="1"/>
  <c r="B144" i="23" s="1"/>
  <c r="B145" i="23" s="1"/>
  <c r="B146" i="23" s="1"/>
  <c r="B147" i="23" s="1"/>
  <c r="B148" i="23" s="1"/>
  <c r="B149" i="23" s="1"/>
  <c r="B150" i="23" s="1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B262" i="23" s="1"/>
  <c r="B263" i="23" s="1"/>
  <c r="B264" i="23" s="1"/>
  <c r="B265" i="23" s="1"/>
  <c r="B266" i="23" s="1"/>
  <c r="B267" i="23" s="1"/>
  <c r="B268" i="23" s="1"/>
  <c r="B269" i="23" s="1"/>
  <c r="B270" i="23" s="1"/>
  <c r="B271" i="23" s="1"/>
  <c r="B272" i="23" s="1"/>
  <c r="B273" i="23" s="1"/>
  <c r="B274" i="23" s="1"/>
  <c r="B275" i="23" s="1"/>
  <c r="B276" i="23" s="1"/>
  <c r="B277" i="23" s="1"/>
  <c r="B278" i="23" s="1"/>
  <c r="B279" i="23" s="1"/>
  <c r="B280" i="23" s="1"/>
  <c r="B281" i="23" s="1"/>
  <c r="B282" i="23" s="1"/>
  <c r="B283" i="23" s="1"/>
  <c r="B284" i="23" s="1"/>
  <c r="B285" i="23" s="1"/>
  <c r="B286" i="23" s="1"/>
  <c r="B287" i="23" s="1"/>
  <c r="B288" i="23" s="1"/>
  <c r="B289" i="23" s="1"/>
  <c r="B290" i="23" s="1"/>
  <c r="B291" i="23" s="1"/>
  <c r="B292" i="23" s="1"/>
  <c r="B293" i="23" s="1"/>
  <c r="B294" i="23" s="1"/>
  <c r="B295" i="23" s="1"/>
  <c r="B296" i="23" s="1"/>
  <c r="B297" i="23" s="1"/>
  <c r="B298" i="23" s="1"/>
  <c r="B299" i="23" s="1"/>
  <c r="B300" i="23" s="1"/>
  <c r="B301" i="23" s="1"/>
  <c r="B302" i="23" s="1"/>
  <c r="B303" i="23" s="1"/>
  <c r="F5" i="23"/>
  <c r="F6" i="23" s="1"/>
  <c r="F7" i="23" s="1"/>
  <c r="F8" i="23" s="1"/>
  <c r="F9" i="23" s="1"/>
  <c r="C9" i="23"/>
  <c r="D9" i="23" s="1"/>
  <c r="C4" i="23"/>
  <c r="D4" i="23" s="1"/>
  <c r="C13" i="23"/>
  <c r="D13" i="23" s="1"/>
  <c r="G7" i="23"/>
  <c r="H7" i="23" s="1"/>
  <c r="G6" i="23"/>
  <c r="H6" i="23" s="1"/>
  <c r="P12" i="23"/>
  <c r="G5" i="23"/>
  <c r="H5" i="23" s="1"/>
  <c r="C6" i="23"/>
  <c r="D6" i="23" s="1"/>
  <c r="C12" i="23"/>
  <c r="D12" i="23" s="1"/>
  <c r="C16" i="23"/>
  <c r="D16" i="23" s="1"/>
  <c r="C8" i="23"/>
  <c r="D8" i="23" s="1"/>
  <c r="C11" i="23"/>
  <c r="D11" i="23" s="1"/>
  <c r="M13" i="23"/>
  <c r="C15" i="23"/>
  <c r="D15" i="23" s="1"/>
  <c r="M12" i="23"/>
  <c r="C7" i="23"/>
  <c r="D7" i="23" s="1"/>
  <c r="C17" i="23"/>
  <c r="D17" i="23" s="1"/>
  <c r="C10" i="23"/>
  <c r="D10" i="23" s="1"/>
  <c r="C35" i="23"/>
  <c r="D35" i="23" s="1"/>
  <c r="C41" i="23"/>
  <c r="D41" i="23" s="1"/>
  <c r="C99" i="23"/>
  <c r="D99" i="23" s="1"/>
  <c r="C105" i="23"/>
  <c r="D105" i="23" s="1"/>
  <c r="C149" i="23"/>
  <c r="D149" i="23" s="1"/>
  <c r="C137" i="23"/>
  <c r="D137" i="23" s="1"/>
  <c r="C29" i="23"/>
  <c r="D29" i="23" s="1"/>
  <c r="C52" i="23"/>
  <c r="D52" i="23" s="1"/>
  <c r="C55" i="23"/>
  <c r="D55" i="23" s="1"/>
  <c r="C58" i="23"/>
  <c r="D58" i="23" s="1"/>
  <c r="C61" i="23"/>
  <c r="D61" i="23" s="1"/>
  <c r="C87" i="23"/>
  <c r="D87" i="23" s="1"/>
  <c r="C139" i="23"/>
  <c r="D139" i="23" s="1"/>
  <c r="C20" i="23"/>
  <c r="D20" i="23" s="1"/>
  <c r="C23" i="23"/>
  <c r="D23" i="23" s="1"/>
  <c r="C40" i="23"/>
  <c r="D40" i="23" s="1"/>
  <c r="C43" i="23"/>
  <c r="D43" i="23" s="1"/>
  <c r="C46" i="23"/>
  <c r="D46" i="23" s="1"/>
  <c r="C49" i="23"/>
  <c r="D49" i="23" s="1"/>
  <c r="C72" i="23"/>
  <c r="D72" i="23" s="1"/>
  <c r="C78" i="23"/>
  <c r="D78" i="23" s="1"/>
  <c r="C110" i="23"/>
  <c r="D110" i="23" s="1"/>
  <c r="C113" i="23"/>
  <c r="D113" i="23" s="1"/>
  <c r="C124" i="23"/>
  <c r="D124" i="23" s="1"/>
  <c r="C151" i="23"/>
  <c r="D151" i="23" s="1"/>
  <c r="C26" i="23"/>
  <c r="D26" i="23" s="1"/>
  <c r="C28" i="23"/>
  <c r="D28" i="23" s="1"/>
  <c r="C31" i="23"/>
  <c r="D31" i="23" s="1"/>
  <c r="C34" i="23"/>
  <c r="D34" i="23" s="1"/>
  <c r="C37" i="23"/>
  <c r="D37" i="23" s="1"/>
  <c r="C63" i="23"/>
  <c r="D63" i="23" s="1"/>
  <c r="C69" i="23"/>
  <c r="D69" i="23" s="1"/>
  <c r="C92" i="23"/>
  <c r="D92" i="23" s="1"/>
  <c r="C95" i="23"/>
  <c r="D95" i="23" s="1"/>
  <c r="C98" i="23"/>
  <c r="D98" i="23" s="1"/>
  <c r="C101" i="23"/>
  <c r="D101" i="23" s="1"/>
  <c r="C126" i="23"/>
  <c r="D126" i="23" s="1"/>
  <c r="C83" i="23"/>
  <c r="D83" i="23" s="1"/>
  <c r="C86" i="23"/>
  <c r="D86" i="23" s="1"/>
  <c r="C89" i="23"/>
  <c r="D89" i="23" s="1"/>
  <c r="C112" i="23"/>
  <c r="D112" i="23" s="1"/>
  <c r="C118" i="23"/>
  <c r="D118" i="23" s="1"/>
  <c r="C123" i="23"/>
  <c r="D123" i="23" s="1"/>
  <c r="C150" i="23"/>
  <c r="D150" i="23" s="1"/>
  <c r="C109" i="23"/>
  <c r="D109" i="23" s="1"/>
  <c r="C24" i="23"/>
  <c r="D24" i="23" s="1"/>
  <c r="C27" i="23"/>
  <c r="D27" i="23" s="1"/>
  <c r="C30" i="23"/>
  <c r="D30" i="23" s="1"/>
  <c r="C33" i="23"/>
  <c r="D33" i="23" s="1"/>
  <c r="C56" i="23"/>
  <c r="D56" i="23" s="1"/>
  <c r="C59" i="23"/>
  <c r="D59" i="23" s="1"/>
  <c r="C62" i="23"/>
  <c r="D62" i="23" s="1"/>
  <c r="C65" i="23"/>
  <c r="D65" i="23" s="1"/>
  <c r="C88" i="23"/>
  <c r="D88" i="23" s="1"/>
  <c r="C94" i="23"/>
  <c r="D94" i="23" s="1"/>
  <c r="C97" i="23"/>
  <c r="D97" i="23" s="1"/>
  <c r="C120" i="23"/>
  <c r="D120" i="23" s="1"/>
  <c r="C130" i="23"/>
  <c r="D130" i="23" s="1"/>
  <c r="C135" i="23"/>
  <c r="D135" i="23" s="1"/>
  <c r="C134" i="23" l="1"/>
  <c r="D134" i="23" s="1"/>
  <c r="C129" i="23"/>
  <c r="D129" i="23" s="1"/>
  <c r="C96" i="23"/>
  <c r="D96" i="23" s="1"/>
  <c r="C114" i="23"/>
  <c r="D114" i="23" s="1"/>
  <c r="C119" i="23"/>
  <c r="D119" i="23" s="1"/>
  <c r="C133" i="23"/>
  <c r="D133" i="23" s="1"/>
  <c r="C73" i="23"/>
  <c r="D73" i="23" s="1"/>
  <c r="C108" i="23"/>
  <c r="D108" i="23" s="1"/>
  <c r="C107" i="23"/>
  <c r="D107" i="23" s="1"/>
  <c r="C116" i="23"/>
  <c r="D116" i="23" s="1"/>
  <c r="C141" i="23"/>
  <c r="D141" i="23" s="1"/>
  <c r="C70" i="23"/>
  <c r="D70" i="23" s="1"/>
  <c r="C85" i="23"/>
  <c r="D85" i="23" s="1"/>
  <c r="C76" i="23"/>
  <c r="D76" i="23" s="1"/>
  <c r="C148" i="23"/>
  <c r="D148" i="23" s="1"/>
  <c r="C143" i="23"/>
  <c r="D143" i="23" s="1"/>
  <c r="C136" i="23"/>
  <c r="D136" i="23" s="1"/>
  <c r="C104" i="23"/>
  <c r="D104" i="23" s="1"/>
  <c r="C93" i="23"/>
  <c r="D93" i="23" s="1"/>
  <c r="C127" i="23"/>
  <c r="D127" i="23" s="1"/>
  <c r="C67" i="23"/>
  <c r="D67" i="23" s="1"/>
  <c r="C82" i="23"/>
  <c r="D82" i="23" s="1"/>
  <c r="C91" i="23"/>
  <c r="D91" i="23" s="1"/>
  <c r="C138" i="23"/>
  <c r="D138" i="23" s="1"/>
  <c r="C131" i="23"/>
  <c r="D131" i="23" s="1"/>
  <c r="C66" i="23"/>
  <c r="D66" i="23" s="1"/>
  <c r="C156" i="23"/>
  <c r="D156" i="23" s="1"/>
  <c r="C81" i="23"/>
  <c r="D81" i="23" s="1"/>
  <c r="C90" i="23"/>
  <c r="D90" i="23" s="1"/>
  <c r="C125" i="23"/>
  <c r="D125" i="23" s="1"/>
  <c r="C122" i="23"/>
  <c r="D122" i="23" s="1"/>
  <c r="C64" i="23"/>
  <c r="D64" i="23" s="1"/>
  <c r="C44" i="23"/>
  <c r="D44" i="23" s="1"/>
  <c r="C14" i="23"/>
  <c r="D14" i="23" s="1"/>
  <c r="C232" i="23"/>
  <c r="D232" i="23" s="1"/>
  <c r="C140" i="23"/>
  <c r="D140" i="23" s="1"/>
  <c r="C128" i="23"/>
  <c r="D128" i="23" s="1"/>
  <c r="C115" i="23"/>
  <c r="D115" i="23" s="1"/>
  <c r="C121" i="23"/>
  <c r="D121" i="23" s="1"/>
  <c r="C60" i="23"/>
  <c r="D60" i="23" s="1"/>
  <c r="C146" i="23"/>
  <c r="D146" i="23" s="1"/>
  <c r="C75" i="23"/>
  <c r="D75" i="23" s="1"/>
  <c r="C144" i="23"/>
  <c r="D144" i="23" s="1"/>
  <c r="C84" i="23"/>
  <c r="D84" i="23" s="1"/>
  <c r="C145" i="23"/>
  <c r="D145" i="23" s="1"/>
  <c r="C102" i="23"/>
  <c r="D102" i="23" s="1"/>
  <c r="C38" i="23"/>
  <c r="D38" i="23" s="1"/>
  <c r="C209" i="23"/>
  <c r="D209" i="23" s="1"/>
  <c r="C18" i="23"/>
  <c r="D18" i="23" s="1"/>
  <c r="G8" i="23"/>
  <c r="H8" i="23" s="1"/>
  <c r="C200" i="23"/>
  <c r="D200" i="23" s="1"/>
  <c r="C223" i="23"/>
  <c r="D223" i="23" s="1"/>
  <c r="C152" i="23"/>
  <c r="D152" i="23" s="1"/>
  <c r="C53" i="23"/>
  <c r="D53" i="23" s="1"/>
  <c r="C259" i="23"/>
  <c r="D259" i="23" s="1"/>
  <c r="F10" i="23"/>
  <c r="G9" i="23"/>
  <c r="H9" i="23" s="1"/>
  <c r="C147" i="23"/>
  <c r="D147" i="23" s="1"/>
  <c r="C50" i="23"/>
  <c r="D50" i="23" s="1"/>
  <c r="C211" i="23"/>
  <c r="D211" i="23" s="1"/>
  <c r="C197" i="23"/>
  <c r="D197" i="23" s="1"/>
  <c r="C153" i="23"/>
  <c r="D153" i="23" s="1"/>
  <c r="C117" i="23"/>
  <c r="D117" i="23" s="1"/>
  <c r="C47" i="23"/>
  <c r="D47" i="23" s="1"/>
  <c r="C297" i="23"/>
  <c r="D297" i="23" s="1"/>
  <c r="C111" i="23"/>
  <c r="D111" i="23" s="1"/>
  <c r="C21" i="23"/>
  <c r="D21" i="23" s="1"/>
  <c r="C106" i="23"/>
  <c r="D106" i="23" s="1"/>
  <c r="C79" i="23"/>
  <c r="D79" i="23" s="1"/>
  <c r="C103" i="23"/>
  <c r="D103" i="23" s="1"/>
  <c r="C142" i="23"/>
  <c r="D142" i="23" s="1"/>
  <c r="C296" i="23"/>
  <c r="D296" i="23" s="1"/>
  <c r="C222" i="23"/>
  <c r="D222" i="23" s="1"/>
  <c r="C254" i="23"/>
  <c r="D254" i="23" s="1"/>
  <c r="C286" i="23"/>
  <c r="D286" i="23" s="1"/>
  <c r="C264" i="23"/>
  <c r="D264" i="23" s="1"/>
  <c r="C193" i="23"/>
  <c r="D193" i="23" s="1"/>
  <c r="C198" i="23"/>
  <c r="D198" i="23" s="1"/>
  <c r="C233" i="23"/>
  <c r="D233" i="23" s="1"/>
  <c r="C291" i="23"/>
  <c r="D291" i="23" s="1"/>
  <c r="C265" i="23"/>
  <c r="D265" i="23" s="1"/>
  <c r="C172" i="23"/>
  <c r="D172" i="23" s="1"/>
  <c r="C196" i="23"/>
  <c r="D196" i="23" s="1"/>
  <c r="C228" i="23"/>
  <c r="D228" i="23" s="1"/>
  <c r="C260" i="23"/>
  <c r="D260" i="23" s="1"/>
  <c r="C292" i="23"/>
  <c r="D292" i="23" s="1"/>
  <c r="C215" i="23"/>
  <c r="D215" i="23" s="1"/>
  <c r="C255" i="23"/>
  <c r="D255" i="23" s="1"/>
  <c r="C287" i="23"/>
  <c r="D287" i="23" s="1"/>
  <c r="C203" i="23"/>
  <c r="D203" i="23" s="1"/>
  <c r="C214" i="23"/>
  <c r="D214" i="23" s="1"/>
  <c r="C250" i="23"/>
  <c r="D250" i="23" s="1"/>
  <c r="C282" i="23"/>
  <c r="D282" i="23" s="1"/>
  <c r="C190" i="23"/>
  <c r="D190" i="23" s="1"/>
  <c r="C181" i="23"/>
  <c r="D181" i="23" s="1"/>
  <c r="C229" i="23"/>
  <c r="D229" i="23" s="1"/>
  <c r="C261" i="23"/>
  <c r="D261" i="23" s="1"/>
  <c r="C293" i="23"/>
  <c r="D293" i="23" s="1"/>
  <c r="C160" i="23"/>
  <c r="D160" i="23" s="1"/>
  <c r="C155" i="23"/>
  <c r="D155" i="23" s="1"/>
  <c r="C204" i="23"/>
  <c r="D204" i="23" s="1"/>
  <c r="C236" i="23"/>
  <c r="D236" i="23" s="1"/>
  <c r="C268" i="23"/>
  <c r="D268" i="23" s="1"/>
  <c r="C300" i="23"/>
  <c r="D300" i="23" s="1"/>
  <c r="C231" i="23"/>
  <c r="D231" i="23" s="1"/>
  <c r="C263" i="23"/>
  <c r="D263" i="23" s="1"/>
  <c r="C295" i="23"/>
  <c r="D295" i="23" s="1"/>
  <c r="C219" i="23"/>
  <c r="D219" i="23" s="1"/>
  <c r="C226" i="23"/>
  <c r="D226" i="23" s="1"/>
  <c r="C258" i="23"/>
  <c r="D258" i="23" s="1"/>
  <c r="C290" i="23"/>
  <c r="D290" i="23" s="1"/>
  <c r="C202" i="23"/>
  <c r="D202" i="23" s="1"/>
  <c r="C201" i="23"/>
  <c r="D201" i="23" s="1"/>
  <c r="C237" i="23"/>
  <c r="D237" i="23" s="1"/>
  <c r="C269" i="23"/>
  <c r="D269" i="23" s="1"/>
  <c r="C301" i="23"/>
  <c r="D301" i="23" s="1"/>
  <c r="C170" i="23"/>
  <c r="D170" i="23" s="1"/>
  <c r="C171" i="23"/>
  <c r="D171" i="23" s="1"/>
  <c r="C164" i="23"/>
  <c r="D164" i="23" s="1"/>
  <c r="C176" i="23"/>
  <c r="D176" i="23" s="1"/>
  <c r="C208" i="23"/>
  <c r="D208" i="23" s="1"/>
  <c r="C240" i="23"/>
  <c r="D240" i="23" s="1"/>
  <c r="C272" i="23"/>
  <c r="D272" i="23" s="1"/>
  <c r="C179" i="23"/>
  <c r="D179" i="23" s="1"/>
  <c r="C235" i="23"/>
  <c r="D235" i="23" s="1"/>
  <c r="C267" i="23"/>
  <c r="D267" i="23" s="1"/>
  <c r="C299" i="23"/>
  <c r="D299" i="23" s="1"/>
  <c r="C227" i="23"/>
  <c r="D227" i="23" s="1"/>
  <c r="C230" i="23"/>
  <c r="D230" i="23" s="1"/>
  <c r="C262" i="23"/>
  <c r="D262" i="23" s="1"/>
  <c r="C294" i="23"/>
  <c r="D294" i="23" s="1"/>
  <c r="C210" i="23"/>
  <c r="D210" i="23" s="1"/>
  <c r="C205" i="23"/>
  <c r="D205" i="23" s="1"/>
  <c r="C241" i="23"/>
  <c r="D241" i="23" s="1"/>
  <c r="C273" i="23"/>
  <c r="D273" i="23" s="1"/>
  <c r="C161" i="23"/>
  <c r="D161" i="23" s="1"/>
  <c r="C166" i="23"/>
  <c r="D166" i="23" s="1"/>
  <c r="C159" i="23"/>
  <c r="D159" i="23" s="1"/>
  <c r="C180" i="23"/>
  <c r="D180" i="23" s="1"/>
  <c r="C212" i="23"/>
  <c r="D212" i="23" s="1"/>
  <c r="C244" i="23"/>
  <c r="D244" i="23" s="1"/>
  <c r="C276" i="23"/>
  <c r="D276" i="23" s="1"/>
  <c r="C187" i="23"/>
  <c r="D187" i="23" s="1"/>
  <c r="C239" i="23"/>
  <c r="D239" i="23" s="1"/>
  <c r="C271" i="23"/>
  <c r="D271" i="23" s="1"/>
  <c r="C303" i="23"/>
  <c r="D303" i="23" s="1"/>
  <c r="C174" i="23"/>
  <c r="D174" i="23" s="1"/>
  <c r="C234" i="23"/>
  <c r="D234" i="23" s="1"/>
  <c r="C266" i="23"/>
  <c r="D266" i="23" s="1"/>
  <c r="C298" i="23"/>
  <c r="D298" i="23" s="1"/>
  <c r="C218" i="23"/>
  <c r="D218" i="23" s="1"/>
  <c r="C213" i="23"/>
  <c r="D213" i="23" s="1"/>
  <c r="C245" i="23"/>
  <c r="D245" i="23" s="1"/>
  <c r="C277" i="23"/>
  <c r="D277" i="23" s="1"/>
  <c r="C169" i="23"/>
  <c r="D169" i="23" s="1"/>
  <c r="C167" i="23"/>
  <c r="D167" i="23" s="1"/>
  <c r="C168" i="23"/>
  <c r="D168" i="23" s="1"/>
  <c r="C154" i="23"/>
  <c r="D154" i="23" s="1"/>
  <c r="C184" i="23"/>
  <c r="D184" i="23" s="1"/>
  <c r="C216" i="23"/>
  <c r="D216" i="23" s="1"/>
  <c r="C248" i="23"/>
  <c r="D248" i="23" s="1"/>
  <c r="C280" i="23"/>
  <c r="D280" i="23" s="1"/>
  <c r="C195" i="23"/>
  <c r="D195" i="23" s="1"/>
  <c r="C243" i="23"/>
  <c r="D243" i="23" s="1"/>
  <c r="C275" i="23"/>
  <c r="D275" i="23" s="1"/>
  <c r="C175" i="23"/>
  <c r="D175" i="23" s="1"/>
  <c r="C186" i="23"/>
  <c r="D186" i="23" s="1"/>
  <c r="C238" i="23"/>
  <c r="D238" i="23" s="1"/>
  <c r="C270" i="23"/>
  <c r="D270" i="23" s="1"/>
  <c r="C302" i="23"/>
  <c r="D302" i="23" s="1"/>
  <c r="C157" i="23"/>
  <c r="D157" i="23" s="1"/>
  <c r="C217" i="23"/>
  <c r="D217" i="23" s="1"/>
  <c r="C249" i="23"/>
  <c r="D249" i="23" s="1"/>
  <c r="C281" i="23"/>
  <c r="D281" i="23" s="1"/>
  <c r="C177" i="23"/>
  <c r="D177" i="23" s="1"/>
  <c r="C162" i="23"/>
  <c r="D162" i="23" s="1"/>
  <c r="C163" i="23"/>
  <c r="D163" i="23" s="1"/>
  <c r="C188" i="23"/>
  <c r="D188" i="23" s="1"/>
  <c r="C220" i="23"/>
  <c r="D220" i="23" s="1"/>
  <c r="C252" i="23"/>
  <c r="D252" i="23" s="1"/>
  <c r="C284" i="23"/>
  <c r="D284" i="23" s="1"/>
  <c r="C199" i="23"/>
  <c r="D199" i="23" s="1"/>
  <c r="C247" i="23"/>
  <c r="D247" i="23" s="1"/>
  <c r="C279" i="23"/>
  <c r="D279" i="23" s="1"/>
  <c r="C183" i="23"/>
  <c r="D183" i="23" s="1"/>
  <c r="C194" i="23"/>
  <c r="D194" i="23" s="1"/>
  <c r="C242" i="23"/>
  <c r="D242" i="23" s="1"/>
  <c r="C274" i="23"/>
  <c r="D274" i="23" s="1"/>
  <c r="C178" i="23"/>
  <c r="D178" i="23" s="1"/>
  <c r="C165" i="23"/>
  <c r="D165" i="23" s="1"/>
  <c r="C221" i="23"/>
  <c r="D221" i="23" s="1"/>
  <c r="C253" i="23"/>
  <c r="D253" i="23" s="1"/>
  <c r="C285" i="23"/>
  <c r="D285" i="23" s="1"/>
  <c r="C185" i="23"/>
  <c r="D185" i="23" s="1"/>
  <c r="C158" i="23"/>
  <c r="D158" i="23" s="1"/>
  <c r="C192" i="23"/>
  <c r="D192" i="23" s="1"/>
  <c r="C224" i="23"/>
  <c r="D224" i="23" s="1"/>
  <c r="C256" i="23"/>
  <c r="D256" i="23" s="1"/>
  <c r="C288" i="23"/>
  <c r="D288" i="23" s="1"/>
  <c r="C207" i="23"/>
  <c r="D207" i="23" s="1"/>
  <c r="C251" i="23"/>
  <c r="D251" i="23" s="1"/>
  <c r="C283" i="23"/>
  <c r="D283" i="23" s="1"/>
  <c r="C191" i="23"/>
  <c r="D191" i="23" s="1"/>
  <c r="C206" i="23"/>
  <c r="D206" i="23" s="1"/>
  <c r="C246" i="23"/>
  <c r="D246" i="23" s="1"/>
  <c r="C278" i="23"/>
  <c r="D278" i="23" s="1"/>
  <c r="C182" i="23"/>
  <c r="D182" i="23" s="1"/>
  <c r="C173" i="23"/>
  <c r="D173" i="23" s="1"/>
  <c r="C225" i="23"/>
  <c r="D225" i="23" s="1"/>
  <c r="C257" i="23"/>
  <c r="D257" i="23" s="1"/>
  <c r="C289" i="23"/>
  <c r="D289" i="23" s="1"/>
  <c r="C189" i="23"/>
  <c r="D189" i="23" s="1"/>
  <c r="C132" i="23"/>
  <c r="D132" i="23" s="1"/>
  <c r="C77" i="23"/>
  <c r="D77" i="23" s="1"/>
  <c r="C45" i="23"/>
  <c r="D45" i="23" s="1"/>
  <c r="C32" i="23"/>
  <c r="D32" i="23" s="1"/>
  <c r="C54" i="23"/>
  <c r="D54" i="23" s="1"/>
  <c r="C100" i="23"/>
  <c r="D100" i="23" s="1"/>
  <c r="C71" i="23"/>
  <c r="D71" i="23" s="1"/>
  <c r="C39" i="23"/>
  <c r="D39" i="23" s="1"/>
  <c r="C22" i="23"/>
  <c r="D22" i="23" s="1"/>
  <c r="C19" i="23"/>
  <c r="D19" i="23" s="1"/>
  <c r="C80" i="23"/>
  <c r="D80" i="23" s="1"/>
  <c r="C48" i="23"/>
  <c r="D48" i="23" s="1"/>
  <c r="C57" i="23"/>
  <c r="D57" i="23" s="1"/>
  <c r="C36" i="23"/>
  <c r="D36" i="23" s="1"/>
  <c r="C74" i="23"/>
  <c r="D74" i="23" s="1"/>
  <c r="C42" i="23"/>
  <c r="D42" i="23" s="1"/>
  <c r="C25" i="23"/>
  <c r="D25" i="23" s="1"/>
  <c r="C51" i="23"/>
  <c r="D51" i="23" s="1"/>
  <c r="C68" i="23"/>
  <c r="D68" i="23" s="1"/>
  <c r="G10" i="23" l="1"/>
  <c r="H10" i="23" s="1"/>
  <c r="F11" i="23"/>
  <c r="F12" i="23" l="1"/>
  <c r="G11" i="23"/>
  <c r="H11" i="23" s="1"/>
  <c r="F13" i="23" l="1"/>
  <c r="G12" i="23"/>
  <c r="H12" i="23" s="1"/>
  <c r="F14" i="23" l="1"/>
  <c r="G13" i="23"/>
  <c r="H13" i="23" s="1"/>
  <c r="F15" i="23" l="1"/>
  <c r="G14" i="23"/>
  <c r="H14" i="23" s="1"/>
  <c r="F16" i="23" l="1"/>
  <c r="G15" i="23"/>
  <c r="H15" i="23" s="1"/>
  <c r="F17" i="23" l="1"/>
  <c r="G16" i="23"/>
  <c r="H16" i="23" s="1"/>
  <c r="F18" i="23" l="1"/>
  <c r="G17" i="23"/>
  <c r="H17" i="23" s="1"/>
  <c r="F19" i="23" l="1"/>
  <c r="G18" i="23"/>
  <c r="H18" i="23" s="1"/>
  <c r="F20" i="23" l="1"/>
  <c r="G19" i="23"/>
  <c r="H19" i="23" s="1"/>
  <c r="F21" i="23" l="1"/>
  <c r="G20" i="23"/>
  <c r="H20" i="23" s="1"/>
  <c r="F22" i="23" l="1"/>
  <c r="G21" i="23"/>
  <c r="H21" i="23" s="1"/>
  <c r="F23" i="23" l="1"/>
  <c r="G22" i="23"/>
  <c r="H22" i="23" s="1"/>
  <c r="F24" i="23" l="1"/>
  <c r="G23" i="23"/>
  <c r="H23" i="23" s="1"/>
  <c r="F25" i="23" l="1"/>
  <c r="G24" i="23"/>
  <c r="H24" i="23" s="1"/>
  <c r="F26" i="23" l="1"/>
  <c r="G25" i="23"/>
  <c r="H25" i="23" s="1"/>
  <c r="F27" i="23" l="1"/>
  <c r="G26" i="23"/>
  <c r="H26" i="23" s="1"/>
  <c r="F28" i="23" l="1"/>
  <c r="G27" i="23"/>
  <c r="H27" i="23" s="1"/>
  <c r="F29" i="23" l="1"/>
  <c r="G28" i="23"/>
  <c r="H28" i="23" s="1"/>
  <c r="F30" i="23" l="1"/>
  <c r="G29" i="23"/>
  <c r="H29" i="23" s="1"/>
  <c r="F31" i="23" l="1"/>
  <c r="G30" i="23"/>
  <c r="H30" i="23" s="1"/>
  <c r="F32" i="23" l="1"/>
  <c r="G31" i="23"/>
  <c r="H31" i="23" s="1"/>
  <c r="F33" i="23" l="1"/>
  <c r="G32" i="23"/>
  <c r="H32" i="23" s="1"/>
  <c r="F34" i="23" l="1"/>
  <c r="G33" i="23"/>
  <c r="H33" i="23" s="1"/>
  <c r="F35" i="23" l="1"/>
  <c r="G34" i="23"/>
  <c r="H34" i="23" s="1"/>
  <c r="F36" i="23" l="1"/>
  <c r="G35" i="23"/>
  <c r="H35" i="23" s="1"/>
  <c r="F37" i="23" l="1"/>
  <c r="G36" i="23"/>
  <c r="H36" i="23" s="1"/>
  <c r="F38" i="23" l="1"/>
  <c r="G37" i="23"/>
  <c r="H37" i="23" s="1"/>
  <c r="F39" i="23" l="1"/>
  <c r="G38" i="23"/>
  <c r="H38" i="23" s="1"/>
  <c r="F40" i="23" l="1"/>
  <c r="G39" i="23"/>
  <c r="H39" i="23" s="1"/>
  <c r="F41" i="23" l="1"/>
  <c r="G40" i="23"/>
  <c r="H40" i="23" s="1"/>
  <c r="F42" i="23" l="1"/>
  <c r="G41" i="23"/>
  <c r="H41" i="23" s="1"/>
  <c r="F43" i="23" l="1"/>
  <c r="G42" i="23"/>
  <c r="H42" i="23" s="1"/>
  <c r="F44" i="23" l="1"/>
  <c r="G43" i="23"/>
  <c r="H43" i="23" s="1"/>
  <c r="F45" i="23" l="1"/>
  <c r="G44" i="23"/>
  <c r="H44" i="23" s="1"/>
  <c r="F46" i="23" l="1"/>
  <c r="G45" i="23"/>
  <c r="H45" i="23" s="1"/>
  <c r="F47" i="23" l="1"/>
  <c r="G46" i="23"/>
  <c r="H46" i="23" s="1"/>
  <c r="F48" i="23" l="1"/>
  <c r="G47" i="23"/>
  <c r="H47" i="23" s="1"/>
  <c r="F49" i="23" l="1"/>
  <c r="G48" i="23"/>
  <c r="H48" i="23" s="1"/>
  <c r="F50" i="23" l="1"/>
  <c r="G49" i="23"/>
  <c r="H49" i="23" s="1"/>
  <c r="F51" i="23" l="1"/>
  <c r="G50" i="23"/>
  <c r="H50" i="23" s="1"/>
  <c r="F52" i="23" l="1"/>
  <c r="G51" i="23"/>
  <c r="H51" i="23" s="1"/>
  <c r="F53" i="23" l="1"/>
  <c r="G52" i="23"/>
  <c r="H52" i="23" s="1"/>
  <c r="F54" i="23" l="1"/>
  <c r="G53" i="23"/>
  <c r="H53" i="23" s="1"/>
  <c r="F55" i="23" l="1"/>
  <c r="G54" i="23"/>
  <c r="H54" i="23" s="1"/>
  <c r="F56" i="23" l="1"/>
  <c r="G55" i="23"/>
  <c r="H55" i="23" s="1"/>
  <c r="F57" i="23" l="1"/>
  <c r="G56" i="23"/>
  <c r="H56" i="23" s="1"/>
  <c r="F58" i="23" l="1"/>
  <c r="G57" i="23"/>
  <c r="H57" i="23" s="1"/>
  <c r="F59" i="23" l="1"/>
  <c r="G58" i="23"/>
  <c r="H58" i="23" s="1"/>
  <c r="F60" i="23" l="1"/>
  <c r="G59" i="23"/>
  <c r="H59" i="23" s="1"/>
  <c r="F61" i="23" l="1"/>
  <c r="G60" i="23"/>
  <c r="H60" i="23" s="1"/>
  <c r="F62" i="23" l="1"/>
  <c r="G61" i="23"/>
  <c r="H61" i="23" s="1"/>
  <c r="F63" i="23" l="1"/>
  <c r="G62" i="23"/>
  <c r="H62" i="23" s="1"/>
  <c r="F64" i="23" l="1"/>
  <c r="G63" i="23"/>
  <c r="H63" i="23" s="1"/>
  <c r="F65" i="23" l="1"/>
  <c r="G64" i="23"/>
  <c r="H64" i="23" s="1"/>
  <c r="F66" i="23" l="1"/>
  <c r="G65" i="23"/>
  <c r="H65" i="23" s="1"/>
  <c r="F67" i="23" l="1"/>
  <c r="G66" i="23"/>
  <c r="H66" i="23" s="1"/>
  <c r="F68" i="23" l="1"/>
  <c r="G67" i="23"/>
  <c r="H67" i="23" s="1"/>
  <c r="F69" i="23" l="1"/>
  <c r="G68" i="23"/>
  <c r="H68" i="23" s="1"/>
  <c r="F70" i="23" l="1"/>
  <c r="G69" i="23"/>
  <c r="H69" i="23" s="1"/>
  <c r="F71" i="23" l="1"/>
  <c r="G70" i="23"/>
  <c r="H70" i="23" s="1"/>
  <c r="F72" i="23" l="1"/>
  <c r="G71" i="23"/>
  <c r="H71" i="23" s="1"/>
  <c r="F73" i="23" l="1"/>
  <c r="G72" i="23"/>
  <c r="H72" i="23" s="1"/>
  <c r="F74" i="23" l="1"/>
  <c r="G73" i="23"/>
  <c r="H73" i="23" s="1"/>
  <c r="F75" i="23" l="1"/>
  <c r="G74" i="23"/>
  <c r="H74" i="23" s="1"/>
  <c r="F76" i="23" l="1"/>
  <c r="G75" i="23"/>
  <c r="H75" i="23" s="1"/>
  <c r="F77" i="23" l="1"/>
  <c r="G76" i="23"/>
  <c r="H76" i="23" s="1"/>
  <c r="F78" i="23" l="1"/>
  <c r="G77" i="23"/>
  <c r="H77" i="23" s="1"/>
  <c r="F79" i="23" l="1"/>
  <c r="G78" i="23"/>
  <c r="H78" i="23" s="1"/>
  <c r="F80" i="23" l="1"/>
  <c r="G79" i="23"/>
  <c r="H79" i="23" s="1"/>
  <c r="F81" i="23" l="1"/>
  <c r="G80" i="23"/>
  <c r="H80" i="23" s="1"/>
  <c r="F82" i="23" l="1"/>
  <c r="G81" i="23"/>
  <c r="H81" i="23" s="1"/>
  <c r="F83" i="23" l="1"/>
  <c r="G82" i="23"/>
  <c r="H82" i="23" s="1"/>
  <c r="F84" i="23" l="1"/>
  <c r="G83" i="23"/>
  <c r="H83" i="23" s="1"/>
  <c r="F85" i="23" l="1"/>
  <c r="G84" i="23"/>
  <c r="H84" i="23" s="1"/>
  <c r="F86" i="23" l="1"/>
  <c r="G85" i="23"/>
  <c r="H85" i="23" s="1"/>
  <c r="F87" i="23" l="1"/>
  <c r="G86" i="23"/>
  <c r="H86" i="23" s="1"/>
  <c r="F88" i="23" l="1"/>
  <c r="G87" i="23"/>
  <c r="H87" i="23" s="1"/>
  <c r="F89" i="23" l="1"/>
  <c r="G88" i="23"/>
  <c r="H88" i="23" s="1"/>
  <c r="F90" i="23" l="1"/>
  <c r="G89" i="23"/>
  <c r="H89" i="23" s="1"/>
  <c r="F91" i="23" l="1"/>
  <c r="G90" i="23"/>
  <c r="H90" i="23" s="1"/>
  <c r="F92" i="23" l="1"/>
  <c r="G91" i="23"/>
  <c r="H91" i="23" s="1"/>
  <c r="F93" i="23" l="1"/>
  <c r="G92" i="23"/>
  <c r="H92" i="23" s="1"/>
  <c r="F94" i="23" l="1"/>
  <c r="G93" i="23"/>
  <c r="H93" i="23" s="1"/>
  <c r="F95" i="23" l="1"/>
  <c r="G94" i="23"/>
  <c r="H94" i="23" s="1"/>
  <c r="F96" i="23" l="1"/>
  <c r="G95" i="23"/>
  <c r="H95" i="23" s="1"/>
  <c r="F97" i="23" l="1"/>
  <c r="G96" i="23"/>
  <c r="H96" i="23" s="1"/>
  <c r="F98" i="23" l="1"/>
  <c r="G97" i="23"/>
  <c r="H97" i="23" s="1"/>
  <c r="F99" i="23" l="1"/>
  <c r="G98" i="23"/>
  <c r="H98" i="23" s="1"/>
  <c r="F100" i="23" l="1"/>
  <c r="G99" i="23"/>
  <c r="H99" i="23" s="1"/>
  <c r="F101" i="23" l="1"/>
  <c r="G100" i="23"/>
  <c r="H100" i="23" s="1"/>
  <c r="F102" i="23" l="1"/>
  <c r="G101" i="23"/>
  <c r="H101" i="23" s="1"/>
  <c r="F103" i="23" l="1"/>
  <c r="G102" i="23"/>
  <c r="H102" i="23" s="1"/>
  <c r="F104" i="23" l="1"/>
  <c r="G103" i="23"/>
  <c r="H103" i="23" s="1"/>
  <c r="F105" i="23" l="1"/>
  <c r="G104" i="23"/>
  <c r="H104" i="23" s="1"/>
  <c r="F106" i="23" l="1"/>
  <c r="G105" i="23"/>
  <c r="H105" i="23" s="1"/>
  <c r="F107" i="23" l="1"/>
  <c r="G106" i="23"/>
  <c r="H106" i="23" s="1"/>
  <c r="F108" i="23" l="1"/>
  <c r="G107" i="23"/>
  <c r="H107" i="23" s="1"/>
  <c r="F109" i="23" l="1"/>
  <c r="G108" i="23"/>
  <c r="H108" i="23" s="1"/>
  <c r="F110" i="23" l="1"/>
  <c r="G109" i="23"/>
  <c r="H109" i="23" s="1"/>
  <c r="F111" i="23" l="1"/>
  <c r="G110" i="23"/>
  <c r="H110" i="23" s="1"/>
  <c r="F112" i="23" l="1"/>
  <c r="G111" i="23"/>
  <c r="H111" i="23" s="1"/>
  <c r="F113" i="23" l="1"/>
  <c r="G112" i="23"/>
  <c r="H112" i="23" s="1"/>
  <c r="F114" i="23" l="1"/>
  <c r="G113" i="23"/>
  <c r="H113" i="23" s="1"/>
  <c r="F115" i="23" l="1"/>
  <c r="G114" i="23"/>
  <c r="H114" i="23" s="1"/>
  <c r="F116" i="23" l="1"/>
  <c r="G115" i="23"/>
  <c r="H115" i="23" s="1"/>
  <c r="F117" i="23" l="1"/>
  <c r="G116" i="23"/>
  <c r="H116" i="23" s="1"/>
  <c r="F118" i="23" l="1"/>
  <c r="G117" i="23"/>
  <c r="H117" i="23" s="1"/>
  <c r="F119" i="23" l="1"/>
  <c r="G118" i="23"/>
  <c r="H118" i="23" s="1"/>
  <c r="F120" i="23" l="1"/>
  <c r="G119" i="23"/>
  <c r="H119" i="23" s="1"/>
  <c r="F121" i="23" l="1"/>
  <c r="G120" i="23"/>
  <c r="H120" i="23" s="1"/>
  <c r="F122" i="23" l="1"/>
  <c r="G121" i="23"/>
  <c r="H121" i="23" s="1"/>
  <c r="F123" i="23" l="1"/>
  <c r="G122" i="23"/>
  <c r="H122" i="23" s="1"/>
  <c r="F124" i="23" l="1"/>
  <c r="G123" i="23"/>
  <c r="H123" i="23" s="1"/>
  <c r="F125" i="23" l="1"/>
  <c r="G124" i="23"/>
  <c r="H124" i="23" s="1"/>
  <c r="F126" i="23" l="1"/>
  <c r="G125" i="23"/>
  <c r="H125" i="23" s="1"/>
  <c r="F127" i="23" l="1"/>
  <c r="G126" i="23"/>
  <c r="H126" i="23" s="1"/>
  <c r="F128" i="23" l="1"/>
  <c r="G127" i="23"/>
  <c r="H127" i="23" s="1"/>
  <c r="F129" i="23" l="1"/>
  <c r="G128" i="23"/>
  <c r="H128" i="23" s="1"/>
  <c r="F130" i="23" l="1"/>
  <c r="G129" i="23"/>
  <c r="H129" i="23" s="1"/>
  <c r="F131" i="23" l="1"/>
  <c r="G130" i="23"/>
  <c r="H130" i="23" s="1"/>
  <c r="F132" i="23" l="1"/>
  <c r="G131" i="23"/>
  <c r="H131" i="23" s="1"/>
  <c r="F133" i="23" l="1"/>
  <c r="G132" i="23"/>
  <c r="H132" i="23" s="1"/>
  <c r="F134" i="23" l="1"/>
  <c r="G133" i="23"/>
  <c r="H133" i="23" s="1"/>
  <c r="F135" i="23" l="1"/>
  <c r="G134" i="23"/>
  <c r="H134" i="23" s="1"/>
  <c r="F136" i="23" l="1"/>
  <c r="G135" i="23"/>
  <c r="H135" i="23" s="1"/>
  <c r="F137" i="23" l="1"/>
  <c r="G136" i="23"/>
  <c r="H136" i="23" s="1"/>
  <c r="F138" i="23" l="1"/>
  <c r="G137" i="23"/>
  <c r="H137" i="23" s="1"/>
  <c r="F139" i="23" l="1"/>
  <c r="G138" i="23"/>
  <c r="H138" i="23" s="1"/>
  <c r="F140" i="23" l="1"/>
  <c r="G139" i="23"/>
  <c r="H139" i="23" s="1"/>
  <c r="F141" i="23" l="1"/>
  <c r="G140" i="23"/>
  <c r="H140" i="23" s="1"/>
  <c r="F142" i="23" l="1"/>
  <c r="G141" i="23"/>
  <c r="H141" i="23" s="1"/>
  <c r="F143" i="23" l="1"/>
  <c r="G142" i="23"/>
  <c r="H142" i="23" s="1"/>
  <c r="F144" i="23" l="1"/>
  <c r="G143" i="23"/>
  <c r="H143" i="23" s="1"/>
  <c r="F145" i="23" l="1"/>
  <c r="G144" i="23"/>
  <c r="H144" i="23" s="1"/>
  <c r="F146" i="23" l="1"/>
  <c r="G145" i="23"/>
  <c r="H145" i="23" s="1"/>
  <c r="F147" i="23" l="1"/>
  <c r="G146" i="23"/>
  <c r="H146" i="23" s="1"/>
  <c r="F148" i="23" l="1"/>
  <c r="G147" i="23"/>
  <c r="H147" i="23" s="1"/>
  <c r="F149" i="23" l="1"/>
  <c r="G148" i="23"/>
  <c r="H148" i="23" s="1"/>
  <c r="F150" i="23" l="1"/>
  <c r="G149" i="23"/>
  <c r="H149" i="23" s="1"/>
  <c r="F151" i="23" l="1"/>
  <c r="G150" i="23"/>
  <c r="H150" i="23" s="1"/>
  <c r="F152" i="23" l="1"/>
  <c r="G151" i="23"/>
  <c r="H151" i="23" s="1"/>
  <c r="F153" i="23" l="1"/>
  <c r="G152" i="23"/>
  <c r="H152" i="23" s="1"/>
  <c r="F154" i="23" l="1"/>
  <c r="G153" i="23"/>
  <c r="H153" i="23" s="1"/>
  <c r="F155" i="23" l="1"/>
  <c r="G154" i="23"/>
  <c r="H154" i="23" s="1"/>
  <c r="F156" i="23" l="1"/>
  <c r="G155" i="23"/>
  <c r="H155" i="23" s="1"/>
  <c r="F157" i="23" l="1"/>
  <c r="G156" i="23"/>
  <c r="H156" i="23" s="1"/>
  <c r="F158" i="23" l="1"/>
  <c r="G157" i="23"/>
  <c r="H157" i="23" s="1"/>
  <c r="F159" i="23" l="1"/>
  <c r="G158" i="23"/>
  <c r="H158" i="23" s="1"/>
  <c r="F160" i="23" l="1"/>
  <c r="G159" i="23"/>
  <c r="H159" i="23" s="1"/>
  <c r="F161" i="23" l="1"/>
  <c r="G160" i="23"/>
  <c r="H160" i="23" s="1"/>
  <c r="F162" i="23" l="1"/>
  <c r="G161" i="23"/>
  <c r="H161" i="23" s="1"/>
  <c r="F163" i="23" l="1"/>
  <c r="G162" i="23"/>
  <c r="H162" i="23" s="1"/>
  <c r="F164" i="23" l="1"/>
  <c r="G163" i="23"/>
  <c r="H163" i="23" s="1"/>
  <c r="F165" i="23" l="1"/>
  <c r="G164" i="23"/>
  <c r="H164" i="23" s="1"/>
  <c r="F166" i="23" l="1"/>
  <c r="G165" i="23"/>
  <c r="H165" i="23" s="1"/>
  <c r="F167" i="23" l="1"/>
  <c r="G166" i="23"/>
  <c r="H166" i="23" s="1"/>
  <c r="F168" i="23" l="1"/>
  <c r="G167" i="23"/>
  <c r="H167" i="23" s="1"/>
  <c r="F169" i="23" l="1"/>
  <c r="G168" i="23"/>
  <c r="H168" i="23" s="1"/>
  <c r="F170" i="23" l="1"/>
  <c r="G169" i="23"/>
  <c r="H169" i="23" s="1"/>
  <c r="F171" i="23" l="1"/>
  <c r="G170" i="23"/>
  <c r="H170" i="23" s="1"/>
  <c r="F172" i="23" l="1"/>
  <c r="G171" i="23"/>
  <c r="H171" i="23" s="1"/>
  <c r="F173" i="23" l="1"/>
  <c r="G172" i="23"/>
  <c r="H172" i="23" s="1"/>
  <c r="F174" i="23" l="1"/>
  <c r="G173" i="23"/>
  <c r="H173" i="23" s="1"/>
  <c r="F175" i="23" l="1"/>
  <c r="G174" i="23"/>
  <c r="H174" i="23" s="1"/>
  <c r="F176" i="23" l="1"/>
  <c r="G175" i="23"/>
  <c r="H175" i="23" s="1"/>
  <c r="F177" i="23" l="1"/>
  <c r="G176" i="23"/>
  <c r="H176" i="23" s="1"/>
  <c r="F178" i="23" l="1"/>
  <c r="G177" i="23"/>
  <c r="H177" i="23" s="1"/>
  <c r="F179" i="23" l="1"/>
  <c r="G178" i="23"/>
  <c r="H178" i="23" s="1"/>
  <c r="F180" i="23" l="1"/>
  <c r="G179" i="23"/>
  <c r="H179" i="23" s="1"/>
  <c r="F181" i="23" l="1"/>
  <c r="G180" i="23"/>
  <c r="H180" i="23" s="1"/>
  <c r="F182" i="23" l="1"/>
  <c r="G181" i="23"/>
  <c r="H181" i="23" s="1"/>
  <c r="F183" i="23" l="1"/>
  <c r="G182" i="23"/>
  <c r="H182" i="23" s="1"/>
  <c r="F184" i="23" l="1"/>
  <c r="G183" i="23"/>
  <c r="H183" i="23" s="1"/>
  <c r="F185" i="23" l="1"/>
  <c r="G184" i="23"/>
  <c r="H184" i="23" s="1"/>
  <c r="F186" i="23" l="1"/>
  <c r="G185" i="23"/>
  <c r="H185" i="23" s="1"/>
  <c r="F187" i="23" l="1"/>
  <c r="G186" i="23"/>
  <c r="H186" i="23" s="1"/>
  <c r="F188" i="23" l="1"/>
  <c r="G187" i="23"/>
  <c r="H187" i="23" s="1"/>
  <c r="F189" i="23" l="1"/>
  <c r="G188" i="23"/>
  <c r="H188" i="23" s="1"/>
  <c r="F190" i="23" l="1"/>
  <c r="G189" i="23"/>
  <c r="H189" i="23" s="1"/>
  <c r="F191" i="23" l="1"/>
  <c r="G190" i="23"/>
  <c r="H190" i="23" s="1"/>
  <c r="F192" i="23" l="1"/>
  <c r="G191" i="23"/>
  <c r="H191" i="23" s="1"/>
  <c r="F193" i="23" l="1"/>
  <c r="G192" i="23"/>
  <c r="H192" i="23" s="1"/>
  <c r="F194" i="23" l="1"/>
  <c r="G193" i="23"/>
  <c r="H193" i="23" s="1"/>
  <c r="F195" i="23" l="1"/>
  <c r="G194" i="23"/>
  <c r="H194" i="23" s="1"/>
  <c r="F196" i="23" l="1"/>
  <c r="G195" i="23"/>
  <c r="H195" i="23" s="1"/>
  <c r="F197" i="23" l="1"/>
  <c r="G196" i="23"/>
  <c r="H196" i="23" s="1"/>
  <c r="F198" i="23" l="1"/>
  <c r="G197" i="23"/>
  <c r="H197" i="23" s="1"/>
  <c r="F199" i="23" l="1"/>
  <c r="G198" i="23"/>
  <c r="H198" i="23" s="1"/>
  <c r="F200" i="23" l="1"/>
  <c r="G199" i="23"/>
  <c r="H199" i="23" s="1"/>
  <c r="F201" i="23" l="1"/>
  <c r="G200" i="23"/>
  <c r="H200" i="23" s="1"/>
  <c r="F202" i="23" l="1"/>
  <c r="G201" i="23"/>
  <c r="H201" i="23" s="1"/>
  <c r="F203" i="23" l="1"/>
  <c r="G202" i="23"/>
  <c r="H202" i="23" s="1"/>
  <c r="F204" i="23" l="1"/>
  <c r="G203" i="23"/>
  <c r="H203" i="23" s="1"/>
  <c r="F205" i="23" l="1"/>
  <c r="G204" i="23"/>
  <c r="H204" i="23" s="1"/>
  <c r="F206" i="23" l="1"/>
  <c r="G205" i="23"/>
  <c r="H205" i="23" s="1"/>
  <c r="F207" i="23" l="1"/>
  <c r="G206" i="23"/>
  <c r="H206" i="23" s="1"/>
  <c r="F208" i="23" l="1"/>
  <c r="G207" i="23"/>
  <c r="H207" i="23" s="1"/>
  <c r="F209" i="23" l="1"/>
  <c r="G208" i="23"/>
  <c r="H208" i="23" s="1"/>
  <c r="F210" i="23" l="1"/>
  <c r="G209" i="23"/>
  <c r="H209" i="23" s="1"/>
  <c r="F211" i="23" l="1"/>
  <c r="G210" i="23"/>
  <c r="H210" i="23" s="1"/>
  <c r="F212" i="23" l="1"/>
  <c r="G211" i="23"/>
  <c r="H211" i="23" s="1"/>
  <c r="F213" i="23" l="1"/>
  <c r="G212" i="23"/>
  <c r="H212" i="23" s="1"/>
  <c r="F214" i="23" l="1"/>
  <c r="G213" i="23"/>
  <c r="H213" i="23" s="1"/>
  <c r="F215" i="23" l="1"/>
  <c r="G214" i="23"/>
  <c r="H214" i="23" s="1"/>
  <c r="F216" i="23" l="1"/>
  <c r="G215" i="23"/>
  <c r="H215" i="23" s="1"/>
  <c r="F217" i="23" l="1"/>
  <c r="G216" i="23"/>
  <c r="H216" i="23" s="1"/>
  <c r="F218" i="23" l="1"/>
  <c r="G217" i="23"/>
  <c r="H217" i="23" s="1"/>
  <c r="F219" i="23" l="1"/>
  <c r="G218" i="23"/>
  <c r="H218" i="23" s="1"/>
  <c r="F220" i="23" l="1"/>
  <c r="G219" i="23"/>
  <c r="H219" i="23" s="1"/>
  <c r="F221" i="23" l="1"/>
  <c r="G220" i="23"/>
  <c r="H220" i="23" s="1"/>
  <c r="F222" i="23" l="1"/>
  <c r="G221" i="23"/>
  <c r="H221" i="23" s="1"/>
  <c r="F223" i="23" l="1"/>
  <c r="G222" i="23"/>
  <c r="H222" i="23" s="1"/>
  <c r="F224" i="23" l="1"/>
  <c r="G223" i="23"/>
  <c r="H223" i="23" s="1"/>
  <c r="F225" i="23" l="1"/>
  <c r="G224" i="23"/>
  <c r="H224" i="23" s="1"/>
  <c r="F226" i="23" l="1"/>
  <c r="G225" i="23"/>
  <c r="H225" i="23" s="1"/>
  <c r="F227" i="23" l="1"/>
  <c r="G226" i="23"/>
  <c r="H226" i="23" s="1"/>
  <c r="F228" i="23" l="1"/>
  <c r="G227" i="23"/>
  <c r="H227" i="23" s="1"/>
  <c r="F229" i="23" l="1"/>
  <c r="G228" i="23"/>
  <c r="H228" i="23" s="1"/>
  <c r="F230" i="23" l="1"/>
  <c r="G229" i="23"/>
  <c r="H229" i="23" s="1"/>
  <c r="F231" i="23" l="1"/>
  <c r="G230" i="23"/>
  <c r="H230" i="23" s="1"/>
  <c r="F232" i="23" l="1"/>
  <c r="G231" i="23"/>
  <c r="H231" i="23" s="1"/>
  <c r="F233" i="23" l="1"/>
  <c r="G232" i="23"/>
  <c r="H232" i="23" s="1"/>
  <c r="F234" i="23" l="1"/>
  <c r="G233" i="23"/>
  <c r="H233" i="23" s="1"/>
  <c r="F235" i="23" l="1"/>
  <c r="G234" i="23"/>
  <c r="H234" i="23" s="1"/>
  <c r="F236" i="23" l="1"/>
  <c r="G235" i="23"/>
  <c r="H235" i="23" s="1"/>
  <c r="F237" i="23" l="1"/>
  <c r="G236" i="23"/>
  <c r="H236" i="23" s="1"/>
  <c r="F238" i="23" l="1"/>
  <c r="G237" i="23"/>
  <c r="H237" i="23" s="1"/>
  <c r="F239" i="23" l="1"/>
  <c r="G238" i="23"/>
  <c r="H238" i="23" s="1"/>
  <c r="F240" i="23" l="1"/>
  <c r="G239" i="23"/>
  <c r="H239" i="23" s="1"/>
  <c r="F241" i="23" l="1"/>
  <c r="G240" i="23"/>
  <c r="H240" i="23" s="1"/>
  <c r="F242" i="23" l="1"/>
  <c r="G241" i="23"/>
  <c r="H241" i="23" s="1"/>
  <c r="F243" i="23" l="1"/>
  <c r="G242" i="23"/>
  <c r="H242" i="23" s="1"/>
  <c r="F244" i="23" l="1"/>
  <c r="G243" i="23"/>
  <c r="H243" i="23" s="1"/>
  <c r="F245" i="23" l="1"/>
  <c r="G244" i="23"/>
  <c r="H244" i="23" s="1"/>
  <c r="F246" i="23" l="1"/>
  <c r="G245" i="23"/>
  <c r="H245" i="23" s="1"/>
  <c r="F247" i="23" l="1"/>
  <c r="G246" i="23"/>
  <c r="H246" i="23" s="1"/>
  <c r="F248" i="23" l="1"/>
  <c r="G247" i="23"/>
  <c r="H247" i="23" s="1"/>
  <c r="F249" i="23" l="1"/>
  <c r="G248" i="23"/>
  <c r="H248" i="23" s="1"/>
  <c r="F250" i="23" l="1"/>
  <c r="G249" i="23"/>
  <c r="H249" i="23" s="1"/>
  <c r="F251" i="23" l="1"/>
  <c r="G250" i="23"/>
  <c r="H250" i="23" s="1"/>
  <c r="F252" i="23" l="1"/>
  <c r="G251" i="23"/>
  <c r="H251" i="23" s="1"/>
  <c r="F253" i="23" l="1"/>
  <c r="G252" i="23"/>
  <c r="H252" i="23" s="1"/>
  <c r="F254" i="23" l="1"/>
  <c r="G253" i="23"/>
  <c r="H253" i="23" s="1"/>
  <c r="F255" i="23" l="1"/>
  <c r="G254" i="23"/>
  <c r="H254" i="23" s="1"/>
  <c r="F256" i="23" l="1"/>
  <c r="G255" i="23"/>
  <c r="H255" i="23" s="1"/>
  <c r="F257" i="23" l="1"/>
  <c r="G256" i="23"/>
  <c r="H256" i="23" s="1"/>
  <c r="F258" i="23" l="1"/>
  <c r="G257" i="23"/>
  <c r="H257" i="23" s="1"/>
  <c r="F259" i="23" l="1"/>
  <c r="G258" i="23"/>
  <c r="H258" i="23" s="1"/>
  <c r="F260" i="23" l="1"/>
  <c r="G259" i="23"/>
  <c r="H259" i="23" s="1"/>
  <c r="F261" i="23" l="1"/>
  <c r="G260" i="23"/>
  <c r="H260" i="23" s="1"/>
  <c r="F262" i="23" l="1"/>
  <c r="G261" i="23"/>
  <c r="H261" i="23" s="1"/>
  <c r="F263" i="23" l="1"/>
  <c r="G262" i="23"/>
  <c r="H262" i="23" s="1"/>
  <c r="F264" i="23" l="1"/>
  <c r="G263" i="23"/>
  <c r="H263" i="23" s="1"/>
  <c r="F265" i="23" l="1"/>
  <c r="G264" i="23"/>
  <c r="H264" i="23" s="1"/>
  <c r="F266" i="23" l="1"/>
  <c r="G265" i="23"/>
  <c r="H265" i="23" s="1"/>
  <c r="F267" i="23" l="1"/>
  <c r="G266" i="23"/>
  <c r="H266" i="23" s="1"/>
  <c r="F268" i="23" l="1"/>
  <c r="G267" i="23"/>
  <c r="H267" i="23" s="1"/>
  <c r="F269" i="23" l="1"/>
  <c r="G268" i="23"/>
  <c r="H268" i="23" s="1"/>
  <c r="F270" i="23" l="1"/>
  <c r="G269" i="23"/>
  <c r="H269" i="23" s="1"/>
  <c r="F271" i="23" l="1"/>
  <c r="G270" i="23"/>
  <c r="H270" i="23" s="1"/>
  <c r="F272" i="23" l="1"/>
  <c r="G271" i="23"/>
  <c r="H271" i="23" s="1"/>
  <c r="F273" i="23" l="1"/>
  <c r="G272" i="23"/>
  <c r="H272" i="23" s="1"/>
  <c r="F274" i="23" l="1"/>
  <c r="G273" i="23"/>
  <c r="H273" i="23" s="1"/>
  <c r="F275" i="23" l="1"/>
  <c r="G274" i="23"/>
  <c r="H274" i="23" s="1"/>
  <c r="F276" i="23" l="1"/>
  <c r="G275" i="23"/>
  <c r="H275" i="23" s="1"/>
  <c r="F277" i="23" l="1"/>
  <c r="G276" i="23"/>
  <c r="H276" i="23" s="1"/>
  <c r="F278" i="23" l="1"/>
  <c r="G277" i="23"/>
  <c r="H277" i="23" s="1"/>
  <c r="F279" i="23" l="1"/>
  <c r="G278" i="23"/>
  <c r="H278" i="23" s="1"/>
  <c r="F280" i="23" l="1"/>
  <c r="G279" i="23"/>
  <c r="H279" i="23" s="1"/>
  <c r="F281" i="23" l="1"/>
  <c r="G280" i="23"/>
  <c r="H280" i="23" s="1"/>
  <c r="F282" i="23" l="1"/>
  <c r="G281" i="23"/>
  <c r="H281" i="23" s="1"/>
  <c r="F283" i="23" l="1"/>
  <c r="G282" i="23"/>
  <c r="H282" i="23" s="1"/>
  <c r="F284" i="23" l="1"/>
  <c r="G283" i="23"/>
  <c r="H283" i="23" s="1"/>
  <c r="F285" i="23" l="1"/>
  <c r="G284" i="23"/>
  <c r="H284" i="23" s="1"/>
  <c r="F286" i="23" l="1"/>
  <c r="G285" i="23"/>
  <c r="H285" i="23" s="1"/>
  <c r="F287" i="23" l="1"/>
  <c r="G286" i="23"/>
  <c r="H286" i="23" s="1"/>
  <c r="F288" i="23" l="1"/>
  <c r="G287" i="23"/>
  <c r="H287" i="23" s="1"/>
  <c r="F289" i="23" l="1"/>
  <c r="G288" i="23"/>
  <c r="H288" i="23" s="1"/>
  <c r="F290" i="23" l="1"/>
  <c r="G289" i="23"/>
  <c r="H289" i="23" s="1"/>
  <c r="F291" i="23" l="1"/>
  <c r="G290" i="23"/>
  <c r="H290" i="23" s="1"/>
  <c r="F292" i="23" l="1"/>
  <c r="G291" i="23"/>
  <c r="H291" i="23" s="1"/>
  <c r="F293" i="23" l="1"/>
  <c r="G292" i="23"/>
  <c r="H292" i="23" s="1"/>
  <c r="F294" i="23" l="1"/>
  <c r="G293" i="23"/>
  <c r="H293" i="23" s="1"/>
  <c r="F295" i="23" l="1"/>
  <c r="G294" i="23"/>
  <c r="H294" i="23" s="1"/>
  <c r="F296" i="23" l="1"/>
  <c r="G295" i="23"/>
  <c r="H295" i="23" s="1"/>
  <c r="F297" i="23" l="1"/>
  <c r="G296" i="23"/>
  <c r="H296" i="23" s="1"/>
  <c r="F298" i="23" l="1"/>
  <c r="G297" i="23"/>
  <c r="H297" i="23" s="1"/>
  <c r="F299" i="23" l="1"/>
  <c r="G298" i="23"/>
  <c r="H298" i="23" s="1"/>
  <c r="F300" i="23" l="1"/>
  <c r="G299" i="23"/>
  <c r="H299" i="23" s="1"/>
  <c r="F301" i="23" l="1"/>
  <c r="G300" i="23"/>
  <c r="H300" i="23" s="1"/>
  <c r="F302" i="23" l="1"/>
  <c r="G301" i="23"/>
  <c r="H301" i="23" s="1"/>
  <c r="F303" i="23" l="1"/>
  <c r="G303" i="23" s="1"/>
  <c r="H303" i="23" s="1"/>
  <c r="G302" i="23"/>
  <c r="H302" i="23" s="1"/>
</calcChain>
</file>

<file path=xl/comments1.xml><?xml version="1.0" encoding="utf-8"?>
<comments xmlns="http://schemas.openxmlformats.org/spreadsheetml/2006/main">
  <authors>
    <author>송광석</author>
  </authors>
  <commentList>
    <comment ref="AC24" authorId="0">
      <text>
        <r>
          <rPr>
            <b/>
            <sz val="9"/>
            <color indexed="81"/>
            <rFont val="돋움"/>
            <family val="3"/>
            <charset val="129"/>
          </rPr>
          <t>송광석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암반층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전단파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
직접입력을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L269" authorId="0">
      <text>
        <r>
          <rPr>
            <b/>
            <sz val="9"/>
            <color indexed="81"/>
            <rFont val="돋움"/>
            <family val="3"/>
            <charset val="129"/>
          </rPr>
          <t>송광석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기반암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전단파속도</t>
        </r>
      </text>
    </comment>
  </commentList>
</comments>
</file>

<file path=xl/comments2.xml><?xml version="1.0" encoding="utf-8"?>
<comments xmlns="http://schemas.openxmlformats.org/spreadsheetml/2006/main">
  <authors>
    <author>송광석</author>
  </authors>
  <commentList>
    <comment ref="AC51" authorId="0">
      <text>
        <r>
          <rPr>
            <b/>
            <sz val="9"/>
            <color indexed="81"/>
            <rFont val="돋움"/>
            <family val="3"/>
            <charset val="129"/>
          </rPr>
          <t>송광석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암반층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전단파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속도를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
직접입력을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B52" authorId="0">
      <text>
        <r>
          <rPr>
            <b/>
            <sz val="9"/>
            <color indexed="81"/>
            <rFont val="돋움"/>
            <family val="3"/>
            <charset val="129"/>
          </rPr>
          <t>송광석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암반층은
연암층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경암층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보통암층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기반암층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암반층으로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인식함</t>
        </r>
      </text>
    </comment>
    <comment ref="O52" authorId="0">
      <text>
        <r>
          <rPr>
            <b/>
            <sz val="9"/>
            <color indexed="81"/>
            <rFont val="돋움"/>
            <family val="3"/>
            <charset val="129"/>
          </rPr>
          <t>송광석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암반층은</t>
        </r>
        <r>
          <rPr>
            <sz val="9"/>
            <color indexed="81"/>
            <rFont val="Tahoma"/>
            <family val="2"/>
          </rPr>
          <t xml:space="preserve"> 760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계산하며
토사층은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선창국식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
직접입력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옆에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셀입력</t>
        </r>
      </text>
    </comment>
    <comment ref="L251" authorId="0">
      <text>
        <r>
          <rPr>
            <b/>
            <sz val="9"/>
            <color indexed="81"/>
            <rFont val="돋움"/>
            <family val="3"/>
            <charset val="129"/>
          </rPr>
          <t>송광석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기반암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전단파속도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<sst xmlns="http://schemas.openxmlformats.org/spreadsheetml/2006/main" count="1883" uniqueCount="723">
  <si>
    <t>:</t>
    <phoneticPr fontId="1" type="noConversion"/>
  </si>
  <si>
    <t>=</t>
    <phoneticPr fontId="1" type="noConversion"/>
  </si>
  <si>
    <t>(</t>
    <phoneticPr fontId="1" type="noConversion"/>
  </si>
  <si>
    <t>+</t>
    <phoneticPr fontId="1" type="noConversion"/>
  </si>
  <si>
    <t>)</t>
    <phoneticPr fontId="1" type="noConversion"/>
  </si>
  <si>
    <t>/</t>
    <phoneticPr fontId="1" type="noConversion"/>
  </si>
  <si>
    <t>구 분</t>
    <phoneticPr fontId="1" type="noConversion"/>
  </si>
  <si>
    <t>-</t>
    <phoneticPr fontId="1" type="noConversion"/>
  </si>
  <si>
    <t>m</t>
    <phoneticPr fontId="1" type="noConversion"/>
  </si>
  <si>
    <t>x</t>
    <phoneticPr fontId="6" type="noConversion"/>
  </si>
  <si>
    <t>비 고</t>
    <phoneticPr fontId="1" type="noConversion"/>
  </si>
  <si>
    <t>발생응력(MPa)</t>
    <phoneticPr fontId="1" type="noConversion"/>
  </si>
  <si>
    <t>g</t>
    <phoneticPr fontId="1" type="noConversion"/>
  </si>
  <si>
    <t>붕괴방지수준</t>
    <phoneticPr fontId="1" type="noConversion"/>
  </si>
  <si>
    <t>기능수행</t>
    <phoneticPr fontId="1" type="noConversion"/>
  </si>
  <si>
    <t>붕괴방지</t>
    <phoneticPr fontId="1" type="noConversion"/>
  </si>
  <si>
    <t>( 2 ) 지진구역 및 구역계수(Z)</t>
    <phoneticPr fontId="1" type="noConversion"/>
  </si>
  <si>
    <t>지진구역</t>
    <phoneticPr fontId="1" type="noConversion"/>
  </si>
  <si>
    <t>행 정 구 역</t>
    <phoneticPr fontId="1" type="noConversion"/>
  </si>
  <si>
    <t>구역계수</t>
    <phoneticPr fontId="1" type="noConversion"/>
  </si>
  <si>
    <t>I</t>
    <phoneticPr fontId="1" type="noConversion"/>
  </si>
  <si>
    <t>시</t>
    <phoneticPr fontId="1" type="noConversion"/>
  </si>
  <si>
    <t>서울특별시, 인천광역시, 대전광역시, 부산광역시, 대구광역시 울산광역시, 광주광역시, 세종특별자치시</t>
    <phoneticPr fontId="1" type="noConversion"/>
  </si>
  <si>
    <t>도</t>
    <phoneticPr fontId="1" type="noConversion"/>
  </si>
  <si>
    <t>II</t>
    <phoneticPr fontId="1" type="noConversion"/>
  </si>
  <si>
    <t>강원도 북부, 제주특별자치도</t>
    <phoneticPr fontId="1" type="noConversion"/>
  </si>
  <si>
    <t>( 3 ) 상수도 시설물의 내진등급과 설계지진</t>
    <phoneticPr fontId="1" type="noConversion"/>
  </si>
  <si>
    <t>내진등급</t>
    <phoneticPr fontId="1" type="noConversion"/>
  </si>
  <si>
    <t>재현주기</t>
    <phoneticPr fontId="1" type="noConversion"/>
  </si>
  <si>
    <t>내진1등급</t>
    <phoneticPr fontId="1" type="noConversion"/>
  </si>
  <si>
    <t>대체시설이 없는 송․배수 간선시설, 중요시설과 연결된 급수공급관로, 복구 난이도가 높은 환경에 놓이는 시설, 지진재해시 긴급대처 거점시설, 중대한 2 차 재해를 유발시킬 가능성이 있는 시설 등</t>
    <phoneticPr fontId="1" type="noConversion"/>
  </si>
  <si>
    <t>1,000년</t>
    <phoneticPr fontId="1" type="noConversion"/>
  </si>
  <si>
    <t>내진2등급</t>
    <phoneticPr fontId="1" type="noConversion"/>
  </si>
  <si>
    <t>내진Ⅰ등급 이외의 시설</t>
    <phoneticPr fontId="1" type="noConversion"/>
  </si>
  <si>
    <t>500년</t>
    <phoneticPr fontId="1" type="noConversion"/>
  </si>
  <si>
    <t>( 4 ) 위험도계수(I)</t>
    <phoneticPr fontId="1" type="noConversion"/>
  </si>
  <si>
    <t>50년</t>
    <phoneticPr fontId="1" type="noConversion"/>
  </si>
  <si>
    <t>100년</t>
    <phoneticPr fontId="1" type="noConversion"/>
  </si>
  <si>
    <t>200년</t>
    <phoneticPr fontId="1" type="noConversion"/>
  </si>
  <si>
    <t>2,400년</t>
    <phoneticPr fontId="1" type="noConversion"/>
  </si>
  <si>
    <t>4,800년</t>
    <phoneticPr fontId="1" type="noConversion"/>
  </si>
  <si>
    <t>위험도 계수</t>
    <phoneticPr fontId="1" type="noConversion"/>
  </si>
  <si>
    <t>토 층</t>
    <phoneticPr fontId="1" type="noConversion"/>
  </si>
  <si>
    <t>N치</t>
    <phoneticPr fontId="1" type="noConversion"/>
  </si>
  <si>
    <t>환산N치</t>
    <phoneticPr fontId="1" type="noConversion"/>
  </si>
  <si>
    <t>※ 표준관입시험 시 단단한 암질에 도달하여 항타수가 50에 이르러도 30cm 깊이를 관입하지 못할 경우</t>
    <phoneticPr fontId="1" type="noConversion"/>
  </si>
  <si>
    <t xml:space="preserve">   50타수 이상의 N값은 선형적인 비례관계를 토대로 30cm 두께 관입 시 N값으로 환산함</t>
    <phoneticPr fontId="1" type="noConversion"/>
  </si>
  <si>
    <t xml:space="preserve">   (이때 환산 N치의 최대값은 300으로 함)</t>
    <phoneticPr fontId="1" type="noConversion"/>
  </si>
  <si>
    <t>m/sec</t>
    <phoneticPr fontId="1" type="noConversion"/>
  </si>
  <si>
    <r>
      <t>kN/m</t>
    </r>
    <r>
      <rPr>
        <vertAlign val="superscript"/>
        <sz val="8"/>
        <rFont val="맑은 고딕"/>
        <family val="3"/>
        <charset val="129"/>
        <scheme val="minor"/>
      </rPr>
      <t>2</t>
    </r>
    <phoneticPr fontId="1" type="noConversion"/>
  </si>
  <si>
    <t>x</t>
  </si>
  <si>
    <t>( 1 ) 소요내진성능수준 :</t>
    <phoneticPr fontId="1" type="noConversion"/>
  </si>
  <si>
    <t>( 5 ) 지반분류</t>
    <phoneticPr fontId="1" type="noConversion"/>
  </si>
  <si>
    <t>&lt;&lt;&lt;&lt;&lt;</t>
    <phoneticPr fontId="1" type="noConversion"/>
  </si>
  <si>
    <t>지반종류</t>
    <phoneticPr fontId="1" type="noConversion"/>
  </si>
  <si>
    <t>지반종류의 호칭</t>
    <phoneticPr fontId="1" type="noConversion"/>
  </si>
  <si>
    <t>분류기준</t>
    <phoneticPr fontId="1" type="noConversion"/>
  </si>
  <si>
    <t>기반암, 깊이, H(m)</t>
    <phoneticPr fontId="1" type="noConversion"/>
  </si>
  <si>
    <t>토층 평균 전단파속도(m/s)</t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</si>
  <si>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1</t>
    </r>
    <phoneticPr fontId="1" type="noConversion"/>
  </si>
  <si>
    <t>암반 지반</t>
    <phoneticPr fontId="1" type="noConversion"/>
  </si>
  <si>
    <t>1 미만</t>
    <phoneticPr fontId="1" type="noConversion"/>
  </si>
  <si>
    <t>지반분류</t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</si>
  <si>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2</t>
    </r>
    <phoneticPr fontId="1" type="noConversion"/>
  </si>
  <si>
    <t>얕고 단단한 지반</t>
    <phoneticPr fontId="1" type="noConversion"/>
  </si>
  <si>
    <t>1~20 이하</t>
    <phoneticPr fontId="1" type="noConversion"/>
  </si>
  <si>
    <t>260 이상</t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</si>
  <si>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3</t>
    </r>
    <phoneticPr fontId="1" type="noConversion"/>
  </si>
  <si>
    <t>얕고 연약한 지반</t>
    <phoneticPr fontId="1" type="noConversion"/>
  </si>
  <si>
    <t>260 미만</t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</si>
  <si>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4</t>
    </r>
    <phoneticPr fontId="1" type="noConversion"/>
  </si>
  <si>
    <t>깊고 단단한 지반</t>
    <phoneticPr fontId="1" type="noConversion"/>
  </si>
  <si>
    <t>20 초과</t>
    <phoneticPr fontId="1" type="noConversion"/>
  </si>
  <si>
    <t>180 이상</t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</si>
  <si>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5</t>
    </r>
    <phoneticPr fontId="1" type="noConversion"/>
  </si>
  <si>
    <t>깊고 연약한 지반</t>
    <phoneticPr fontId="1" type="noConversion"/>
  </si>
  <si>
    <t>180 미만</t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</si>
  <si>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6</t>
    </r>
    <phoneticPr fontId="1" type="noConversion"/>
  </si>
  <si>
    <t>부지 고유의 특성 평가 및 지반응답해석이 요구되는 지반</t>
    <phoneticPr fontId="1" type="noConversion"/>
  </si>
  <si>
    <t>※ 여기서 기반암이란, 전단파속도 760m/s 이상을 나타내는 지층</t>
    <phoneticPr fontId="1" type="noConversion"/>
  </si>
  <si>
    <t>( 6 ) 지반증폭계수</t>
    <phoneticPr fontId="1" type="noConversion"/>
  </si>
  <si>
    <t xml:space="preserve"> ∙  S</t>
    <phoneticPr fontId="1" type="noConversion"/>
  </si>
  <si>
    <t>(유효수평지반가속도)  = Z(구역계수) × I(위험도계수)</t>
    <phoneticPr fontId="1" type="noConversion"/>
  </si>
  <si>
    <r>
      <t xml:space="preserve"> ∙  F</t>
    </r>
    <r>
      <rPr>
        <vertAlign val="subscript"/>
        <sz val="8"/>
        <color theme="1"/>
        <rFont val="맑은 고딕"/>
        <family val="3"/>
        <charset val="129"/>
        <scheme val="minor"/>
      </rPr>
      <t>a</t>
    </r>
    <phoneticPr fontId="1" type="noConversion"/>
  </si>
  <si>
    <t>(단주기 증폭계수)</t>
    <phoneticPr fontId="1" type="noConversion"/>
  </si>
  <si>
    <t>0.154g 기준으로 계산됨</t>
    <phoneticPr fontId="1" type="noConversion"/>
  </si>
  <si>
    <r>
      <t xml:space="preserve"> ∙  F</t>
    </r>
    <r>
      <rPr>
        <vertAlign val="subscript"/>
        <sz val="8"/>
        <color theme="1"/>
        <rFont val="맑은 고딕"/>
        <family val="3"/>
        <charset val="129"/>
        <scheme val="minor"/>
      </rPr>
      <t>v</t>
    </r>
    <phoneticPr fontId="1" type="noConversion"/>
  </si>
  <si>
    <t>(장주기 증폭계수)</t>
    <phoneticPr fontId="1" type="noConversion"/>
  </si>
  <si>
    <r>
      <t>단주기 증폭계수, F</t>
    </r>
    <r>
      <rPr>
        <b/>
        <vertAlign val="subscript"/>
        <sz val="8"/>
        <color theme="1"/>
        <rFont val="맑은 고딕"/>
        <family val="3"/>
        <charset val="129"/>
        <scheme val="minor"/>
      </rPr>
      <t>a</t>
    </r>
    <phoneticPr fontId="1" type="noConversion"/>
  </si>
  <si>
    <r>
      <t>장주기 증폭계수, F</t>
    </r>
    <r>
      <rPr>
        <b/>
        <vertAlign val="subscript"/>
        <sz val="8"/>
        <color theme="1"/>
        <rFont val="맑은 고딕"/>
        <family val="3"/>
        <charset val="129"/>
        <scheme val="minor"/>
      </rPr>
      <t>v</t>
    </r>
    <phoneticPr fontId="1" type="noConversion"/>
  </si>
  <si>
    <t>S ≤ 0.1</t>
    <phoneticPr fontId="1" type="noConversion"/>
  </si>
  <si>
    <t>S = 0.2</t>
    <phoneticPr fontId="1" type="noConversion"/>
  </si>
  <si>
    <t>S = 0.3</t>
    <phoneticPr fontId="1" type="noConversion"/>
  </si>
  <si>
    <t>( 7 ) 설계지반가속도</t>
    <phoneticPr fontId="1" type="noConversion"/>
  </si>
  <si>
    <t>(유효수평지반가속도)</t>
    <phoneticPr fontId="1" type="noConversion"/>
  </si>
  <si>
    <r>
      <t xml:space="preserve"> ∙  K</t>
    </r>
    <r>
      <rPr>
        <vertAlign val="subscript"/>
        <sz val="8"/>
        <color theme="1"/>
        <rFont val="맑은 고딕"/>
        <family val="3"/>
        <charset val="129"/>
        <scheme val="minor"/>
      </rPr>
      <t>HU</t>
    </r>
    <phoneticPr fontId="1" type="noConversion"/>
  </si>
  <si>
    <r>
      <t>(설계수평지반가속도)  = S × F</t>
    </r>
    <r>
      <rPr>
        <vertAlign val="subscript"/>
        <sz val="8"/>
        <color theme="1"/>
        <rFont val="맑은 고딕"/>
        <family val="3"/>
        <charset val="129"/>
        <scheme val="minor"/>
      </rPr>
      <t>a</t>
    </r>
    <r>
      <rPr>
        <sz val="8"/>
        <color theme="1"/>
        <rFont val="맑은 고딕"/>
        <family val="3"/>
        <charset val="129"/>
        <scheme val="minor"/>
      </rPr>
      <t xml:space="preserve"> =</t>
    </r>
    <phoneticPr fontId="1" type="noConversion"/>
  </si>
  <si>
    <t>)</t>
    <phoneticPr fontId="7" type="noConversion"/>
  </si>
  <si>
    <t>×</t>
  </si>
  <si>
    <r>
      <t>※ 기반암 깊이와 무관하게 토층평균전단파속도가 120m/s 이하인 지반은 S</t>
    </r>
    <r>
      <rPr>
        <vertAlign val="subscript"/>
        <sz val="8"/>
        <color theme="1"/>
        <rFont val="맑은 고딕"/>
        <family val="3"/>
        <charset val="129"/>
        <scheme val="minor"/>
      </rPr>
      <t>5</t>
    </r>
    <r>
      <rPr>
        <sz val="8"/>
        <color theme="1"/>
        <rFont val="맑은 고딕"/>
        <family val="3"/>
        <charset val="129"/>
        <scheme val="minor"/>
      </rPr>
      <t>지반으로 분류함</t>
    </r>
    <phoneticPr fontId="1" type="noConversion"/>
  </si>
  <si>
    <t xml:space="preserve">    않을 경우 문헌에 따라 기반암은 전단파속도 760m/sec 이상으로 적용 함</t>
    <phoneticPr fontId="1" type="noConversion"/>
  </si>
  <si>
    <t>※ 통상 N치 50이상의 암반층(연암 이상)은 N값 측정이 어려움으로, 암반층의 물성치가 명확하지</t>
    <phoneticPr fontId="1" type="noConversion"/>
  </si>
  <si>
    <t>&lt;&lt;&lt;</t>
    <phoneticPr fontId="1" type="noConversion"/>
  </si>
  <si>
    <t>( 1 ) 지반특성 및 토층지반의 설계지반운동</t>
    <phoneticPr fontId="1" type="noConversion"/>
  </si>
  <si>
    <t>① 지반특성값</t>
    <phoneticPr fontId="1" type="noConversion"/>
  </si>
  <si>
    <t>H (m)</t>
    <phoneticPr fontId="1" type="noConversion"/>
  </si>
  <si>
    <r>
      <t>T</t>
    </r>
    <r>
      <rPr>
        <b/>
        <vertAlign val="subscript"/>
        <sz val="8"/>
        <color theme="1"/>
        <rFont val="맑은 고딕"/>
        <family val="3"/>
        <charset val="129"/>
        <scheme val="minor"/>
      </rPr>
      <t>G</t>
    </r>
    <r>
      <rPr>
        <b/>
        <sz val="8"/>
        <color theme="1"/>
        <rFont val="맑은 고딕"/>
        <family val="3"/>
        <charset val="129"/>
        <scheme val="minor"/>
      </rPr>
      <t xml:space="preserve"> (sec)</t>
    </r>
    <phoneticPr fontId="1" type="noConversion"/>
  </si>
  <si>
    <r>
      <t xml:space="preserve"> ∙  T</t>
    </r>
    <r>
      <rPr>
        <vertAlign val="subscript"/>
        <sz val="8"/>
        <color theme="1"/>
        <rFont val="맑은 고딕"/>
        <family val="3"/>
        <charset val="129"/>
        <scheme val="minor"/>
      </rPr>
      <t>G</t>
    </r>
    <phoneticPr fontId="1" type="noConversion"/>
  </si>
  <si>
    <t>(표층지반의 고유주기)</t>
    <phoneticPr fontId="1" type="noConversion"/>
  </si>
  <si>
    <t>sec</t>
    <phoneticPr fontId="1" type="noConversion"/>
  </si>
  <si>
    <t>② 통제주기</t>
    <phoneticPr fontId="1" type="noConversion"/>
  </si>
  <si>
    <t>암반지반 단주기
스펙트럼증폭계수</t>
    <phoneticPr fontId="1" type="noConversion"/>
  </si>
  <si>
    <t>전이주기(sec)</t>
    <phoneticPr fontId="1" type="noConversion"/>
  </si>
  <si>
    <t>수 평</t>
    <phoneticPr fontId="1" type="noConversion"/>
  </si>
  <si>
    <r>
      <t>T</t>
    </r>
    <r>
      <rPr>
        <b/>
        <vertAlign val="subscript"/>
        <sz val="8"/>
        <color theme="1"/>
        <rFont val="맑은 고딕"/>
        <family val="3"/>
        <charset val="129"/>
        <scheme val="minor"/>
      </rPr>
      <t>S</t>
    </r>
    <phoneticPr fontId="1" type="noConversion"/>
  </si>
  <si>
    <r>
      <t>T</t>
    </r>
    <r>
      <rPr>
        <b/>
        <vertAlign val="subscript"/>
        <sz val="8"/>
        <color theme="1"/>
        <rFont val="맑은 고딕"/>
        <family val="3"/>
        <charset val="129"/>
        <scheme val="minor"/>
      </rPr>
      <t>L</t>
    </r>
    <phoneticPr fontId="1" type="noConversion"/>
  </si>
  <si>
    <t>설계속도 응답스펙트럼</t>
    <phoneticPr fontId="1" type="noConversion"/>
  </si>
  <si>
    <t>▶</t>
    <phoneticPr fontId="1" type="noConversion"/>
  </si>
  <si>
    <r>
      <t>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phoneticPr fontId="1" type="noConversion"/>
  </si>
  <si>
    <t>T</t>
    <phoneticPr fontId="1" type="noConversion"/>
  </si>
  <si>
    <t>T 위치</t>
    <phoneticPr fontId="1" type="noConversion"/>
  </si>
  <si>
    <r>
      <t>S</t>
    </r>
    <r>
      <rPr>
        <b/>
        <vertAlign val="subscript"/>
        <sz val="8"/>
        <color theme="1"/>
        <rFont val="맑은 고딕"/>
        <family val="3"/>
        <charset val="129"/>
        <scheme val="minor"/>
      </rPr>
      <t>V</t>
    </r>
    <r>
      <rPr>
        <b/>
        <sz val="8"/>
        <color theme="1"/>
        <rFont val="맑은 고딕"/>
        <family val="3"/>
        <charset val="129"/>
        <scheme val="minor"/>
      </rPr>
      <t xml:space="preserve"> (m/sec)</t>
    </r>
    <phoneticPr fontId="1" type="noConversion"/>
  </si>
  <si>
    <t xml:space="preserve"> ∙  H</t>
    <phoneticPr fontId="1" type="noConversion"/>
  </si>
  <si>
    <t>층두께(m)</t>
    <phoneticPr fontId="1" type="noConversion"/>
  </si>
  <si>
    <t>층두께
(m)</t>
    <phoneticPr fontId="1" type="noConversion"/>
  </si>
  <si>
    <r>
      <t>초기전단파속도
V</t>
    </r>
    <r>
      <rPr>
        <b/>
        <vertAlign val="subscript"/>
        <sz val="8"/>
        <rFont val="맑은 고딕"/>
        <family val="3"/>
        <charset val="129"/>
        <scheme val="minor"/>
      </rPr>
      <t>si</t>
    </r>
    <r>
      <rPr>
        <b/>
        <sz val="8"/>
        <rFont val="맑은 고딕"/>
        <family val="3"/>
        <charset val="129"/>
        <scheme val="minor"/>
      </rPr>
      <t xml:space="preserve"> (m/s)</t>
    </r>
    <phoneticPr fontId="1" type="noConversion"/>
  </si>
  <si>
    <t>기능수행수준, 붕괴방지수준</t>
    <phoneticPr fontId="1" type="noConversion"/>
  </si>
  <si>
    <t>경기도, 강원도 남부 , 충청북도, 충청남도, 경상북도,
경상남도, 전라북도, 전라남도</t>
    <phoneticPr fontId="1" type="noConversion"/>
  </si>
  <si>
    <r>
      <t>d</t>
    </r>
    <r>
      <rPr>
        <b/>
        <vertAlign val="subscript"/>
        <sz val="8"/>
        <color theme="1"/>
        <rFont val="맑은 고딕"/>
        <family val="3"/>
        <charset val="129"/>
        <scheme val="minor"/>
      </rPr>
      <t>i</t>
    </r>
    <r>
      <rPr>
        <b/>
        <sz val="8"/>
        <color theme="1"/>
        <rFont val="맑은 고딕"/>
        <family val="3"/>
        <charset val="129"/>
        <scheme val="minor"/>
      </rPr>
      <t xml:space="preserve"> / V</t>
    </r>
    <r>
      <rPr>
        <b/>
        <vertAlign val="subscript"/>
        <sz val="8"/>
        <color theme="1"/>
        <rFont val="맑은 고딕"/>
        <family val="3"/>
        <charset val="129"/>
        <scheme val="minor"/>
      </rPr>
      <t>si</t>
    </r>
    <phoneticPr fontId="1" type="noConversion"/>
  </si>
  <si>
    <t xml:space="preserve"> ① 기능수행 수준</t>
    <phoneticPr fontId="1" type="noConversion"/>
  </si>
  <si>
    <t xml:space="preserve"> ② 붕괴방지 수준</t>
    <phoneticPr fontId="1" type="noConversion"/>
  </si>
  <si>
    <t xml:space="preserve"> ∙ 구조물 기초 기준 지반분류</t>
    <phoneticPr fontId="1" type="noConversion"/>
  </si>
  <si>
    <r>
      <t>③ 감쇠보정계수(C</t>
    </r>
    <r>
      <rPr>
        <vertAlign val="subscript"/>
        <sz val="8"/>
        <color theme="1"/>
        <rFont val="맑은 고딕"/>
        <family val="3"/>
        <charset val="129"/>
        <scheme val="minor"/>
      </rPr>
      <t>D</t>
    </r>
    <r>
      <rPr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</si>
  <si>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>주기 (T, sec)</t>
    <phoneticPr fontId="1" type="noConversion"/>
  </si>
  <si>
    <t>T = 0</t>
    <phoneticPr fontId="1" type="noConversion"/>
  </si>
  <si>
    <t>모든 감쇠비</t>
    <phoneticPr fontId="1" type="noConversion"/>
  </si>
  <si>
    <r>
      <t>C</t>
    </r>
    <r>
      <rPr>
        <vertAlign val="subscript"/>
        <sz val="8"/>
        <color theme="1"/>
        <rFont val="맑은 고딕"/>
        <family val="3"/>
        <charset val="129"/>
        <scheme val="minor"/>
      </rPr>
      <t>D</t>
    </r>
    <phoneticPr fontId="1" type="noConversion"/>
  </si>
  <si>
    <r>
      <t>C</t>
    </r>
    <r>
      <rPr>
        <vertAlign val="subscript"/>
        <sz val="8"/>
        <color theme="1"/>
        <rFont val="맑은 고딕"/>
        <family val="3"/>
        <charset val="129"/>
        <scheme val="minor"/>
      </rPr>
      <t>D</t>
    </r>
    <r>
      <rPr>
        <sz val="8"/>
        <color theme="1"/>
        <rFont val="맑은 고딕"/>
        <family val="3"/>
        <charset val="129"/>
        <scheme val="minor"/>
      </rPr>
      <t>(기능수행수준)</t>
    </r>
    <phoneticPr fontId="1" type="noConversion"/>
  </si>
  <si>
    <r>
      <t>C</t>
    </r>
    <r>
      <rPr>
        <vertAlign val="subscript"/>
        <sz val="8"/>
        <color theme="1"/>
        <rFont val="맑은 고딕"/>
        <family val="3"/>
        <charset val="129"/>
        <scheme val="minor"/>
      </rPr>
      <t>D</t>
    </r>
    <r>
      <rPr>
        <sz val="8"/>
        <color theme="1"/>
        <rFont val="맑은 고딕"/>
        <family val="3"/>
        <charset val="129"/>
        <scheme val="minor"/>
      </rPr>
      <t>(붕괴방지수준)</t>
    </r>
    <phoneticPr fontId="1" type="noConversion"/>
  </si>
  <si>
    <r>
      <t>T</t>
    </r>
    <r>
      <rPr>
        <b/>
        <vertAlign val="subscript"/>
        <sz val="8"/>
        <color theme="1"/>
        <rFont val="맑은 고딕"/>
        <family val="3"/>
        <charset val="129"/>
        <scheme val="minor"/>
      </rPr>
      <t>O</t>
    </r>
    <phoneticPr fontId="1" type="noConversion"/>
  </si>
  <si>
    <t>[</t>
    <phoneticPr fontId="1" type="noConversion"/>
  </si>
  <si>
    <r>
      <t>( 1.42+</t>
    </r>
    <r>
      <rPr>
        <sz val="8"/>
        <color theme="1"/>
        <rFont val="Calibri"/>
        <family val="3"/>
        <charset val="161"/>
      </rPr>
      <t>ξ )</t>
    </r>
    <phoneticPr fontId="1" type="noConversion"/>
  </si>
  <si>
    <t>]</t>
    <phoneticPr fontId="1" type="noConversion"/>
  </si>
  <si>
    <r>
      <t>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r>
      <rPr>
        <sz val="8"/>
        <color theme="1"/>
        <rFont val="맑은 고딕"/>
        <family val="3"/>
        <charset val="129"/>
        <scheme val="minor"/>
      </rPr>
      <t>=0일 때,</t>
    </r>
    <phoneticPr fontId="1" type="noConversion"/>
  </si>
  <si>
    <r>
      <t>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r>
      <rPr>
        <sz val="8"/>
        <color theme="1"/>
        <rFont val="맑은 고딕"/>
        <family val="3"/>
        <charset val="129"/>
        <scheme val="minor"/>
      </rPr>
      <t>=T</t>
    </r>
    <r>
      <rPr>
        <vertAlign val="subscript"/>
        <sz val="8"/>
        <color theme="1"/>
        <rFont val="맑은 고딕"/>
        <family val="3"/>
        <charset val="129"/>
        <scheme val="minor"/>
      </rPr>
      <t>O</t>
    </r>
    <r>
      <rPr>
        <sz val="8"/>
        <color theme="1"/>
        <rFont val="맑은 고딕"/>
        <family val="3"/>
        <charset val="129"/>
        <scheme val="minor"/>
      </rPr>
      <t>일 때,</t>
    </r>
    <phoneticPr fontId="1" type="noConversion"/>
  </si>
  <si>
    <t>그 사이는 직선보간</t>
    <phoneticPr fontId="1" type="noConversion"/>
  </si>
  <si>
    <t>1.0 ~ 0.758</t>
    <phoneticPr fontId="1" type="noConversion"/>
  </si>
  <si>
    <t>1.0 ~ 0.561</t>
    <phoneticPr fontId="1" type="noConversion"/>
  </si>
  <si>
    <r>
      <t>0 ≤ T ≤ T</t>
    </r>
    <r>
      <rPr>
        <b/>
        <vertAlign val="subscript"/>
        <sz val="8"/>
        <color theme="1"/>
        <rFont val="맑은 고딕"/>
        <family val="3"/>
        <charset val="129"/>
        <scheme val="minor"/>
      </rPr>
      <t>O</t>
    </r>
    <phoneticPr fontId="1" type="noConversion"/>
  </si>
  <si>
    <r>
      <t>T</t>
    </r>
    <r>
      <rPr>
        <b/>
        <vertAlign val="subscript"/>
        <sz val="8"/>
        <color theme="1"/>
        <rFont val="맑은 고딕"/>
        <family val="3"/>
        <charset val="129"/>
        <scheme val="minor"/>
      </rPr>
      <t>O</t>
    </r>
    <r>
      <rPr>
        <b/>
        <sz val="8"/>
        <color theme="1"/>
        <rFont val="맑은 고딕"/>
        <family val="3"/>
        <charset val="129"/>
        <scheme val="minor"/>
      </rPr>
      <t xml:space="preserve"> ≤ T</t>
    </r>
    <phoneticPr fontId="1" type="noConversion"/>
  </si>
  <si>
    <t xml:space="preserve">  - 기능수행수준</t>
    <phoneticPr fontId="1" type="noConversion"/>
  </si>
  <si>
    <t xml:space="preserve">  - 붕괴방지수준</t>
    <phoneticPr fontId="1" type="noConversion"/>
  </si>
  <si>
    <t>%</t>
    <phoneticPr fontId="1" type="noConversion"/>
  </si>
  <si>
    <r>
      <t xml:space="preserve"> ∙  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phoneticPr fontId="1" type="noConversion"/>
  </si>
  <si>
    <r>
      <t>T</t>
    </r>
    <r>
      <rPr>
        <b/>
        <vertAlign val="subscript"/>
        <sz val="8"/>
        <color theme="1"/>
        <rFont val="맑은 고딕"/>
        <family val="3"/>
        <charset val="129"/>
        <scheme val="minor"/>
      </rPr>
      <t>s</t>
    </r>
    <r>
      <rPr>
        <b/>
        <sz val="8"/>
        <color theme="1"/>
        <rFont val="맑은 고딕"/>
        <family val="3"/>
        <charset val="129"/>
        <scheme val="minor"/>
      </rPr>
      <t xml:space="preserve"> (sec)</t>
    </r>
    <phoneticPr fontId="1" type="noConversion"/>
  </si>
  <si>
    <t>Time</t>
    <phoneticPr fontId="7" type="noConversion"/>
  </si>
  <si>
    <t>구분</t>
  </si>
  <si>
    <r>
      <t>α</t>
    </r>
    <r>
      <rPr>
        <b/>
        <vertAlign val="subscript"/>
        <sz val="10"/>
        <color rgb="FF000000"/>
        <rFont val="맑은 고딕"/>
        <family val="3"/>
        <charset val="129"/>
        <scheme val="major"/>
      </rPr>
      <t>A</t>
    </r>
    <r>
      <rPr>
        <b/>
        <sz val="10"/>
        <color rgb="FF000000"/>
        <rFont val="맑은 고딕"/>
        <family val="3"/>
        <charset val="129"/>
        <scheme val="major"/>
      </rPr>
      <t xml:space="preserve"> (단주기스펙트럼</t>
    </r>
    <phoneticPr fontId="7" type="noConversion"/>
  </si>
  <si>
    <t>전이주기(sec)</t>
  </si>
  <si>
    <t>증폭계수)</t>
  </si>
  <si>
    <t>T0</t>
    <phoneticPr fontId="7" type="noConversion"/>
  </si>
  <si>
    <t>Ts</t>
    <phoneticPr fontId="7" type="noConversion"/>
  </si>
  <si>
    <t>TL</t>
    <phoneticPr fontId="7" type="noConversion"/>
  </si>
  <si>
    <t>수 평</t>
  </si>
  <si>
    <t>S</t>
    <phoneticPr fontId="7" type="noConversion"/>
  </si>
  <si>
    <r>
      <t>α</t>
    </r>
    <r>
      <rPr>
        <vertAlign val="subscript"/>
        <sz val="11"/>
        <rFont val="맑은 고딕"/>
        <family val="3"/>
        <charset val="129"/>
        <scheme val="major"/>
      </rPr>
      <t>A</t>
    </r>
    <r>
      <rPr>
        <sz val="11"/>
        <rFont val="맑은 고딕"/>
        <family val="3"/>
        <charset val="129"/>
        <scheme val="major"/>
      </rPr>
      <t>S</t>
    </r>
    <phoneticPr fontId="7" type="noConversion"/>
  </si>
  <si>
    <r>
      <t>Ts*α</t>
    </r>
    <r>
      <rPr>
        <vertAlign val="subscript"/>
        <sz val="10"/>
        <color rgb="FF000000"/>
        <rFont val="맑은 고딕"/>
        <family val="3"/>
        <charset val="129"/>
        <scheme val="major"/>
      </rPr>
      <t>A</t>
    </r>
    <r>
      <rPr>
        <sz val="10"/>
        <color rgb="FF000000"/>
        <rFont val="맑은 고딕"/>
        <family val="3"/>
        <charset val="129"/>
        <scheme val="major"/>
      </rPr>
      <t>S</t>
    </r>
    <phoneticPr fontId="7" type="noConversion"/>
  </si>
  <si>
    <r>
      <t>TL*α</t>
    </r>
    <r>
      <rPr>
        <vertAlign val="subscript"/>
        <sz val="10"/>
        <color rgb="FF000000"/>
        <rFont val="맑은 고딕"/>
        <family val="3"/>
        <charset val="129"/>
        <scheme val="major"/>
      </rPr>
      <t>A</t>
    </r>
    <r>
      <rPr>
        <sz val="10"/>
        <color rgb="FF000000"/>
        <rFont val="맑은 고딕"/>
        <family val="3"/>
        <charset val="129"/>
        <scheme val="major"/>
      </rPr>
      <t>S</t>
    </r>
    <phoneticPr fontId="7" type="noConversion"/>
  </si>
  <si>
    <t>Sa</t>
    <phoneticPr fontId="7" type="noConversion"/>
  </si>
  <si>
    <t>Sv</t>
    <phoneticPr fontId="7" type="noConversion"/>
  </si>
  <si>
    <t>기능수행수준</t>
    <phoneticPr fontId="1" type="noConversion"/>
  </si>
  <si>
    <t>◆ 붕괴방지수준</t>
    <phoneticPr fontId="1" type="noConversion"/>
  </si>
  <si>
    <t>◆ 기능수행수준</t>
    <phoneticPr fontId="1" type="noConversion"/>
  </si>
  <si>
    <r>
      <t>C</t>
    </r>
    <r>
      <rPr>
        <vertAlign val="subscript"/>
        <sz val="11"/>
        <rFont val="맑은 고딕"/>
        <family val="3"/>
        <charset val="129"/>
        <scheme val="major"/>
      </rPr>
      <t>D</t>
    </r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</si>
  <si>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V</t>
    </r>
    <r>
      <rPr>
        <sz val="8"/>
        <color theme="1"/>
        <rFont val="맑은 고딕"/>
        <family val="3"/>
        <charset val="129"/>
        <scheme val="minor"/>
      </rPr>
      <t xml:space="preserve"> = ( 1 + 30T ) × S × 9.81 × C</t>
    </r>
    <r>
      <rPr>
        <vertAlign val="subscript"/>
        <sz val="8"/>
        <color theme="1"/>
        <rFont val="맑은 고딕"/>
        <family val="3"/>
        <charset val="129"/>
        <scheme val="minor"/>
      </rPr>
      <t>D</t>
    </r>
    <r>
      <rPr>
        <sz val="8"/>
        <color theme="1"/>
        <rFont val="맑은 고딕"/>
        <family val="3"/>
        <charset val="129"/>
        <scheme val="minor"/>
      </rPr>
      <t xml:space="preserve"> × T/2</t>
    </r>
    <r>
      <rPr>
        <sz val="8"/>
        <color theme="1"/>
        <rFont val="Calibri"/>
        <family val="3"/>
        <charset val="161"/>
      </rPr>
      <t>π</t>
    </r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</si>
  <si>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V</t>
    </r>
    <r>
      <rPr>
        <sz val="8"/>
        <color theme="1"/>
        <rFont val="맑은 고딕"/>
        <family val="3"/>
        <charset val="129"/>
        <scheme val="minor"/>
      </rPr>
      <t xml:space="preserve"> = 2.8 × S × 9.81 × C</t>
    </r>
    <r>
      <rPr>
        <vertAlign val="subscript"/>
        <sz val="8"/>
        <color theme="1"/>
        <rFont val="맑은 고딕"/>
        <family val="3"/>
        <charset val="129"/>
        <scheme val="minor"/>
      </rPr>
      <t>D</t>
    </r>
    <r>
      <rPr>
        <sz val="8"/>
        <color theme="1"/>
        <rFont val="맑은 고딕"/>
        <family val="3"/>
        <charset val="129"/>
        <scheme val="minor"/>
      </rPr>
      <t xml:space="preserve"> × T/2</t>
    </r>
    <r>
      <rPr>
        <sz val="8"/>
        <color theme="1"/>
        <rFont val="Calibri"/>
        <family val="3"/>
        <charset val="161"/>
      </rPr>
      <t>π</t>
    </r>
    <phoneticPr fontId="1" type="noConversion"/>
  </si>
  <si>
    <r>
      <t>T</t>
    </r>
    <r>
      <rPr>
        <vertAlign val="subscript"/>
        <sz val="8"/>
        <color theme="1"/>
        <rFont val="맑은 고딕"/>
        <family val="3"/>
        <charset val="129"/>
        <scheme val="minor"/>
      </rPr>
      <t>O</t>
    </r>
    <phoneticPr fontId="1" type="noConversion"/>
  </si>
  <si>
    <r>
      <t>( ①:T &lt; T</t>
    </r>
    <r>
      <rPr>
        <vertAlign val="subscript"/>
        <sz val="8"/>
        <color theme="1"/>
        <rFont val="맑은 고딕"/>
        <family val="3"/>
        <charset val="129"/>
        <scheme val="minor"/>
      </rPr>
      <t>O</t>
    </r>
    <r>
      <rPr>
        <sz val="8"/>
        <color theme="1"/>
        <rFont val="맑은 고딕"/>
        <family val="3"/>
        <charset val="129"/>
        <scheme val="minor"/>
      </rPr>
      <t>, ②: T</t>
    </r>
    <r>
      <rPr>
        <vertAlign val="subscript"/>
        <sz val="8"/>
        <color theme="1"/>
        <rFont val="맑은 고딕"/>
        <family val="3"/>
        <charset val="129"/>
        <scheme val="minor"/>
      </rPr>
      <t>O</t>
    </r>
    <r>
      <rPr>
        <sz val="8"/>
        <color theme="1"/>
        <rFont val="맑은 고딕"/>
        <family val="3"/>
        <charset val="129"/>
        <scheme val="minor"/>
      </rPr>
      <t xml:space="preserve"> &lt; T &lt; 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r>
      <rPr>
        <sz val="8"/>
        <color theme="1"/>
        <rFont val="맑은 고딕"/>
        <family val="3"/>
        <charset val="129"/>
        <scheme val="minor"/>
      </rPr>
      <t>, ③ :T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r>
      <rPr>
        <sz val="8"/>
        <color theme="1"/>
        <rFont val="맑은 고딕"/>
        <family val="3"/>
        <charset val="129"/>
        <scheme val="minor"/>
      </rPr>
      <t xml:space="preserve"> &lt; T )</t>
    </r>
    <phoneticPr fontId="1" type="noConversion"/>
  </si>
  <si>
    <r>
      <t>S</t>
    </r>
    <r>
      <rPr>
        <vertAlign val="subscript"/>
        <sz val="8"/>
        <color theme="1"/>
        <rFont val="맑은 고딕"/>
        <family val="3"/>
        <charset val="129"/>
        <scheme val="minor"/>
      </rPr>
      <t>V</t>
    </r>
    <r>
      <rPr>
        <sz val="8"/>
        <color theme="1"/>
        <rFont val="맑은 고딕"/>
        <family val="3"/>
        <charset val="129"/>
        <scheme val="minor"/>
      </rPr>
      <t xml:space="preserve"> = 0.84/T × S × 9.81 × C</t>
    </r>
    <r>
      <rPr>
        <vertAlign val="subscript"/>
        <sz val="8"/>
        <color theme="1"/>
        <rFont val="맑은 고딕"/>
        <family val="3"/>
        <charset val="129"/>
        <scheme val="minor"/>
      </rPr>
      <t>D</t>
    </r>
    <r>
      <rPr>
        <sz val="8"/>
        <color theme="1"/>
        <rFont val="맑은 고딕"/>
        <family val="3"/>
        <charset val="129"/>
        <scheme val="minor"/>
      </rPr>
      <t xml:space="preserve"> × T/2</t>
    </r>
    <r>
      <rPr>
        <sz val="8"/>
        <color theme="1"/>
        <rFont val="Calibri"/>
        <family val="3"/>
        <charset val="161"/>
      </rPr>
      <t>π</t>
    </r>
    <phoneticPr fontId="1" type="noConversion"/>
  </si>
  <si>
    <t>(기능수행수준 유효수평지반가속도)</t>
    <phoneticPr fontId="1" type="noConversion"/>
  </si>
  <si>
    <t>(붕괴방지수준 유효수평지반가속도)</t>
    <phoneticPr fontId="1" type="noConversion"/>
  </si>
  <si>
    <r>
      <t>0.00 ≤ 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r>
      <rPr>
        <sz val="8"/>
        <color theme="1"/>
        <rFont val="맑은 고딕"/>
        <family val="3"/>
        <charset val="129"/>
        <scheme val="minor"/>
      </rPr>
      <t xml:space="preserve"> &lt; 0.06</t>
    </r>
    <phoneticPr fontId="1" type="noConversion"/>
  </si>
  <si>
    <r>
      <t>0.06 ≤ 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r>
      <rPr>
        <sz val="8"/>
        <color theme="1"/>
        <rFont val="맑은 고딕"/>
        <family val="3"/>
        <charset val="129"/>
        <scheme val="minor"/>
      </rPr>
      <t xml:space="preserve"> &lt; 0.30</t>
    </r>
    <phoneticPr fontId="1" type="noConversion"/>
  </si>
  <si>
    <r>
      <t>0.30 ≤ T</t>
    </r>
    <r>
      <rPr>
        <vertAlign val="subscript"/>
        <sz val="8"/>
        <color theme="1"/>
        <rFont val="맑은 고딕"/>
        <family val="3"/>
        <charset val="129"/>
        <scheme val="minor"/>
      </rPr>
      <t>s</t>
    </r>
    <r>
      <rPr>
        <sz val="8"/>
        <color theme="1"/>
        <rFont val="맑은 고딕"/>
        <family val="3"/>
        <charset val="129"/>
        <scheme val="minor"/>
      </rPr>
      <t xml:space="preserve"> &lt; 3.00</t>
    </r>
    <phoneticPr fontId="1" type="noConversion"/>
  </si>
  <si>
    <r>
      <t xml:space="preserve"> ∙  S</t>
    </r>
    <r>
      <rPr>
        <vertAlign val="subscript"/>
        <sz val="8"/>
        <color theme="1"/>
        <rFont val="맑은 고딕"/>
        <family val="3"/>
        <charset val="129"/>
        <scheme val="minor"/>
      </rPr>
      <t>기능</t>
    </r>
    <phoneticPr fontId="1" type="noConversion"/>
  </si>
  <si>
    <r>
      <t xml:space="preserve"> ∙  S</t>
    </r>
    <r>
      <rPr>
        <vertAlign val="subscript"/>
        <sz val="8"/>
        <color theme="1"/>
        <rFont val="맑은 고딕"/>
        <family val="3"/>
        <charset val="129"/>
        <scheme val="minor"/>
      </rPr>
      <t>붕괴</t>
    </r>
    <phoneticPr fontId="1" type="noConversion"/>
  </si>
  <si>
    <t>=</t>
  </si>
  <si>
    <t>심도
(GL.(-) m)</t>
    <phoneticPr fontId="1" type="noConversion"/>
  </si>
  <si>
    <t>지표층 전단파속도</t>
    <phoneticPr fontId="1" type="noConversion"/>
  </si>
  <si>
    <t xml:space="preserve"> ∙  표층지반 평균 전단파 속도(Vs)</t>
    <phoneticPr fontId="1" type="noConversion"/>
  </si>
  <si>
    <t>직접입력</t>
    <phoneticPr fontId="1" type="noConversion"/>
  </si>
  <si>
    <t>연암층, 경암층 보통암층은 기반암으로 적용</t>
    <phoneticPr fontId="1" type="noConversion"/>
  </si>
  <si>
    <t xml:space="preserve"> ∙  기반암 심도</t>
    <phoneticPr fontId="1" type="noConversion"/>
  </si>
  <si>
    <t>매립층</t>
    <phoneticPr fontId="1" type="noConversion"/>
  </si>
  <si>
    <t>토피고 제외 벽체 옆 층은 최대까지 2개까지 분류</t>
    <phoneticPr fontId="1" type="noConversion"/>
  </si>
  <si>
    <t xml:space="preserve"> ∙ 표층지반은 기반면에서 지표면까지를 의미하며, 구조물 기초 하부 20m를 초과하여 기반암의 위치를</t>
    <phoneticPr fontId="1" type="noConversion"/>
  </si>
  <si>
    <t xml:space="preserve">   확인 불가능 할 경우에는 지반변위 산정을 위해 기반암 심도를 구조물 기초 하부 20m로 가정함</t>
    <phoneticPr fontId="1" type="noConversion"/>
  </si>
  <si>
    <r>
      <t xml:space="preserve"> ∙ 성능수준별 감쇠비(</t>
    </r>
    <r>
      <rPr>
        <sz val="8"/>
        <color theme="1"/>
        <rFont val="Calibri"/>
        <family val="3"/>
        <charset val="161"/>
      </rPr>
      <t>ξ</t>
    </r>
    <r>
      <rPr>
        <sz val="8"/>
        <color theme="1"/>
        <rFont val="맑은 고딕"/>
        <family val="3"/>
        <charset val="129"/>
        <scheme val="major"/>
      </rPr>
      <t>)</t>
    </r>
    <phoneticPr fontId="1" type="noConversion"/>
  </si>
  <si>
    <r>
      <t xml:space="preserve"> ∙ 감쇠보정계수(C</t>
    </r>
    <r>
      <rPr>
        <vertAlign val="subscript"/>
        <sz val="8"/>
        <color theme="1"/>
        <rFont val="맑은 고딕"/>
        <family val="3"/>
        <charset val="129"/>
        <scheme val="major"/>
      </rPr>
      <t>D</t>
    </r>
    <r>
      <rPr>
        <sz val="8"/>
        <color theme="1"/>
        <rFont val="맑은 고딕"/>
        <family val="3"/>
        <charset val="129"/>
        <scheme val="major"/>
      </rPr>
      <t>)</t>
    </r>
    <phoneticPr fontId="1" type="noConversion"/>
  </si>
  <si>
    <t xml:space="preserve"> ① N값에 의한 전단파속도 결정</t>
    <phoneticPr fontId="1" type="noConversion"/>
  </si>
  <si>
    <t xml:space="preserve"> ② 지반분류</t>
    <phoneticPr fontId="1" type="noConversion"/>
  </si>
  <si>
    <t>m</t>
    <phoneticPr fontId="128" type="noConversion"/>
  </si>
  <si>
    <t>- 기반암 심도(H)</t>
  </si>
  <si>
    <t>m</t>
  </si>
  <si>
    <t>- 흙의 단위중량(γ)</t>
    <phoneticPr fontId="3" type="noConversion"/>
  </si>
  <si>
    <t>E</t>
    <phoneticPr fontId="3" type="noConversion"/>
  </si>
  <si>
    <t>MPa</t>
    <phoneticPr fontId="3" type="noConversion"/>
  </si>
  <si>
    <t>=</t>
    <phoneticPr fontId="3" type="noConversion"/>
  </si>
  <si>
    <t>t</t>
    <phoneticPr fontId="3" type="noConversion"/>
  </si>
  <si>
    <t>mm</t>
    <phoneticPr fontId="3" type="noConversion"/>
  </si>
  <si>
    <t>m</t>
    <phoneticPr fontId="3" type="noConversion"/>
  </si>
  <si>
    <t>D</t>
    <phoneticPr fontId="3" type="noConversion"/>
  </si>
  <si>
    <t>(관외경)</t>
    <phoneticPr fontId="3" type="noConversion"/>
  </si>
  <si>
    <t>A</t>
    <phoneticPr fontId="3" type="noConversion"/>
  </si>
  <si>
    <t>(강관의 단면적)</t>
    <phoneticPr fontId="3" type="noConversion"/>
  </si>
  <si>
    <t>I</t>
    <phoneticPr fontId="3" type="noConversion"/>
  </si>
  <si>
    <t>(강관의 단면2차모멘트)</t>
    <phoneticPr fontId="3" type="noConversion"/>
  </si>
  <si>
    <t xml:space="preserve"> 2) 설계지진력 산정</t>
    <phoneticPr fontId="1" type="noConversion"/>
  </si>
  <si>
    <t xml:space="preserve"> 1) 관체 제원 및 설계조건</t>
    <phoneticPr fontId="1" type="noConversion"/>
  </si>
  <si>
    <r>
      <t>kN/m</t>
    </r>
    <r>
      <rPr>
        <vertAlign val="superscript"/>
        <sz val="8"/>
        <color rgb="FF000000"/>
        <rFont val="맑은 고딕"/>
        <family val="3"/>
        <charset val="129"/>
        <scheme val="major"/>
      </rPr>
      <t>2</t>
    </r>
    <phoneticPr fontId="3" type="noConversion"/>
  </si>
  <si>
    <r>
      <t>kN/m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</si>
  <si>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mm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</si>
  <si>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</si>
  <si>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mm</t>
    </r>
    <r>
      <rPr>
        <vertAlign val="superscript"/>
        <sz val="8"/>
        <rFont val="맑은 고딕"/>
        <family val="3"/>
        <charset val="129"/>
        <scheme val="major"/>
      </rPr>
      <t>4</t>
    </r>
    <phoneticPr fontId="3" type="noConversion"/>
  </si>
  <si>
    <r>
      <t>m</t>
    </r>
    <r>
      <rPr>
        <vertAlign val="superscript"/>
        <sz val="8"/>
        <rFont val="맑은 고딕"/>
        <family val="3"/>
        <charset val="129"/>
        <scheme val="major"/>
      </rPr>
      <t>4</t>
    </r>
    <phoneticPr fontId="3" type="noConversion"/>
  </si>
  <si>
    <t>/</t>
    <phoneticPr fontId="128" type="noConversion"/>
  </si>
  <si>
    <t>π²</t>
  </si>
  <si>
    <t>(π</t>
    <phoneticPr fontId="128" type="noConversion"/>
  </si>
  <si>
    <t>/(</t>
    <phoneticPr fontId="128" type="noConversion"/>
  </si>
  <si>
    <t>=</t>
    <phoneticPr fontId="128" type="noConversion"/>
  </si>
  <si>
    <t>L1</t>
    <phoneticPr fontId="3" type="noConversion"/>
  </si>
  <si>
    <t>L2</t>
    <phoneticPr fontId="3" type="noConversion"/>
  </si>
  <si>
    <t>L</t>
    <phoneticPr fontId="3" type="noConversion"/>
  </si>
  <si>
    <t>(</t>
    <phoneticPr fontId="3" type="noConversion"/>
  </si>
  <si>
    <t>)</t>
    <phoneticPr fontId="3" type="noConversion"/>
  </si>
  <si>
    <t>/</t>
    <phoneticPr fontId="3" type="noConversion"/>
  </si>
  <si>
    <t>+</t>
    <phoneticPr fontId="3" type="noConversion"/>
  </si>
  <si>
    <t>L'</t>
    <phoneticPr fontId="3" type="noConversion"/>
  </si>
  <si>
    <t>√2</t>
    <phoneticPr fontId="3" type="noConversion"/>
  </si>
  <si>
    <t>γ</t>
    <phoneticPr fontId="3" type="noConversion"/>
  </si>
  <si>
    <t>g</t>
    <phoneticPr fontId="3" type="noConversion"/>
  </si>
  <si>
    <t>√</t>
    <phoneticPr fontId="3" type="noConversion"/>
  </si>
  <si>
    <t>EI</t>
    <phoneticPr fontId="3" type="noConversion"/>
  </si>
  <si>
    <t>관중심 심도</t>
    <phoneticPr fontId="1" type="noConversion"/>
  </si>
  <si>
    <t>( 2 ) 지진에 의한 축방향 변형률</t>
    <phoneticPr fontId="1" type="noConversion"/>
  </si>
  <si>
    <t xml:space="preserve"> - 관축위치에서의 지반의 수평변위</t>
    <phoneticPr fontId="7" type="noConversion"/>
  </si>
  <si>
    <t xml:space="preserve"> - 지진동의 파장</t>
    <phoneticPr fontId="7" type="noConversion"/>
  </si>
  <si>
    <t xml:space="preserve"> - 지반의 강성계수</t>
    <phoneticPr fontId="7" type="noConversion"/>
  </si>
  <si>
    <t>:</t>
    <phoneticPr fontId="3" type="noConversion"/>
  </si>
  <si>
    <t>지진I구역</t>
    <phoneticPr fontId="1" type="noConversion"/>
  </si>
  <si>
    <t>내진I등급</t>
    <phoneticPr fontId="1" type="noConversion"/>
  </si>
  <si>
    <t>MPa</t>
    <phoneticPr fontId="128" type="noConversion"/>
  </si>
  <si>
    <t>- 설계내압(P)</t>
    <phoneticPr fontId="128" type="noConversion"/>
  </si>
  <si>
    <t>- 온도변화(T)</t>
    <phoneticPr fontId="3" type="noConversion"/>
  </si>
  <si>
    <t>℃</t>
    <phoneticPr fontId="3" type="noConversion"/>
  </si>
  <si>
    <t>(관두께)</t>
    <phoneticPr fontId="3" type="noConversion"/>
  </si>
  <si>
    <t>(관의 탄성계수)</t>
    <phoneticPr fontId="3" type="noConversion"/>
  </si>
  <si>
    <t>- 매설깊이(h)</t>
    <phoneticPr fontId="3" type="noConversion"/>
  </si>
  <si>
    <t>len</t>
    <phoneticPr fontId="3" type="noConversion"/>
  </si>
  <si>
    <t>(관길이)</t>
    <phoneticPr fontId="3" type="noConversion"/>
  </si>
  <si>
    <t xml:space="preserve"> - 지진시 축방향응력</t>
    <phoneticPr fontId="7" type="noConversion"/>
  </si>
  <si>
    <t>&gt;&gt;&gt;</t>
    <phoneticPr fontId="1" type="noConversion"/>
  </si>
  <si>
    <t>관중심 심도(z) =</t>
    <phoneticPr fontId="1" type="noConversion"/>
  </si>
  <si>
    <r>
      <t>- 차량하중(P</t>
    </r>
    <r>
      <rPr>
        <vertAlign val="subscript"/>
        <sz val="8"/>
        <color rgb="FF000000"/>
        <rFont val="맑은 고딕"/>
        <family val="3"/>
        <charset val="129"/>
        <scheme val="major"/>
      </rPr>
      <t>m</t>
    </r>
    <r>
      <rPr>
        <sz val="8"/>
        <color indexed="8"/>
        <rFont val="맑은 고딕"/>
        <family val="3"/>
        <charset val="129"/>
        <scheme val="major"/>
      </rPr>
      <t>)</t>
    </r>
    <phoneticPr fontId="1" type="noConversion"/>
  </si>
  <si>
    <t>kN/輪</t>
    <phoneticPr fontId="1" type="noConversion"/>
  </si>
  <si>
    <t>관길이</t>
    <phoneticPr fontId="1" type="noConversion"/>
  </si>
  <si>
    <t>지진동의파장</t>
    <phoneticPr fontId="1" type="noConversion"/>
  </si>
  <si>
    <t>L'</t>
    <phoneticPr fontId="1" type="noConversion"/>
  </si>
  <si>
    <t>√2 L</t>
    <phoneticPr fontId="1" type="noConversion"/>
  </si>
  <si>
    <t>L (LL)</t>
    <phoneticPr fontId="1" type="noConversion"/>
  </si>
  <si>
    <t>L' (L3)</t>
    <phoneticPr fontId="1" type="noConversion"/>
  </si>
  <si>
    <t>(u1)</t>
    <phoneticPr fontId="1" type="noConversion"/>
  </si>
  <si>
    <t>L (L)</t>
    <phoneticPr fontId="1" type="noConversion"/>
  </si>
  <si>
    <t>LL/L</t>
    <phoneticPr fontId="1" type="noConversion"/>
  </si>
  <si>
    <t>(v1)</t>
    <phoneticPr fontId="1" type="noConversion"/>
  </si>
  <si>
    <t>(v2)</t>
    <phoneticPr fontId="1" type="noConversion"/>
  </si>
  <si>
    <t>LL/L3</t>
    <phoneticPr fontId="1" type="noConversion"/>
  </si>
  <si>
    <t>(u2)</t>
    <phoneticPr fontId="1" type="noConversion"/>
  </si>
  <si>
    <t>LL/(2L)</t>
    <phoneticPr fontId="1" type="noConversion"/>
  </si>
  <si>
    <t>LL/(2L3)</t>
    <phoneticPr fontId="1" type="noConversion"/>
  </si>
  <si>
    <t>K1</t>
    <phoneticPr fontId="1" type="noConversion"/>
  </si>
  <si>
    <t>지반의 강성계수</t>
    <phoneticPr fontId="1" type="noConversion"/>
  </si>
  <si>
    <t>K2</t>
    <phoneticPr fontId="1" type="noConversion"/>
  </si>
  <si>
    <t>I (II)</t>
    <phoneticPr fontId="1" type="noConversion"/>
  </si>
  <si>
    <t>관체 단면2차모멘트</t>
    <phoneticPr fontId="1" type="noConversion"/>
  </si>
  <si>
    <r>
      <t>m</t>
    </r>
    <r>
      <rPr>
        <vertAlign val="superscript"/>
        <sz val="8"/>
        <rFont val="맑은 고딕"/>
        <family val="3"/>
        <charset val="129"/>
        <scheme val="major"/>
      </rPr>
      <t>4</t>
    </r>
    <phoneticPr fontId="1" type="noConversion"/>
  </si>
  <si>
    <r>
      <rPr>
        <sz val="8"/>
        <rFont val="Calibri"/>
        <family val="3"/>
        <charset val="161"/>
      </rPr>
      <t>β</t>
    </r>
    <r>
      <rPr>
        <sz val="8"/>
        <rFont val="맑은 고딕"/>
        <family val="3"/>
        <charset val="129"/>
        <scheme val="major"/>
      </rPr>
      <t xml:space="preserve"> (Bb)</t>
    </r>
    <phoneticPr fontId="1" type="noConversion"/>
  </si>
  <si>
    <t>(K2/(4EI))^(1/4)</t>
    <phoneticPr fontId="1" type="noConversion"/>
  </si>
  <si>
    <t>E</t>
    <phoneticPr fontId="1" type="noConversion"/>
  </si>
  <si>
    <t>관체 탄성계수</t>
    <phoneticPr fontId="1" type="noConversion"/>
  </si>
  <si>
    <t>(C1)</t>
    <phoneticPr fontId="1" type="noConversion"/>
  </si>
  <si>
    <t>A</t>
    <phoneticPr fontId="1" type="noConversion"/>
  </si>
  <si>
    <t>관체 단면적</t>
    <phoneticPr fontId="1" type="noConversion"/>
  </si>
  <si>
    <r>
      <t>m</t>
    </r>
    <r>
      <rPr>
        <vertAlign val="superscript"/>
        <sz val="8"/>
        <rFont val="맑은 고딕"/>
        <family val="3"/>
        <charset val="129"/>
        <scheme val="major"/>
      </rPr>
      <t>2</t>
    </r>
    <phoneticPr fontId="1" type="noConversion"/>
  </si>
  <si>
    <t>(C2)</t>
    <phoneticPr fontId="1" type="noConversion"/>
  </si>
  <si>
    <t>(K1/(EA))^(1/2)</t>
    <phoneticPr fontId="1" type="noConversion"/>
  </si>
  <si>
    <t>(K2/(EI))^(1/4)</t>
    <phoneticPr fontId="1" type="noConversion"/>
  </si>
  <si>
    <t>(kk1)</t>
    <phoneticPr fontId="1" type="noConversion"/>
  </si>
  <si>
    <t>(kk2)</t>
    <phoneticPr fontId="1" type="noConversion"/>
  </si>
  <si>
    <t>(kk3)</t>
    <phoneticPr fontId="1" type="noConversion"/>
  </si>
  <si>
    <t>(kk4)</t>
    <phoneticPr fontId="1" type="noConversion"/>
  </si>
  <si>
    <t>(PP1)</t>
    <phoneticPr fontId="1" type="noConversion"/>
  </si>
  <si>
    <t>(PP2)</t>
    <phoneticPr fontId="1" type="noConversion"/>
  </si>
  <si>
    <t>(kk6)</t>
    <phoneticPr fontId="1" type="noConversion"/>
  </si>
  <si>
    <t>(kk5)</t>
    <phoneticPr fontId="1" type="noConversion"/>
  </si>
  <si>
    <r>
      <t>C</t>
    </r>
    <r>
      <rPr>
        <vertAlign val="subscript"/>
        <sz val="8"/>
        <rFont val="맑은 고딕"/>
        <family val="3"/>
        <charset val="129"/>
        <scheme val="major"/>
      </rPr>
      <t>1</t>
    </r>
    <r>
      <rPr>
        <sz val="8"/>
        <rFont val="맑은 고딕"/>
        <family val="3"/>
        <charset val="129"/>
        <scheme val="major"/>
      </rPr>
      <t>(cc1)</t>
    </r>
    <phoneticPr fontId="1" type="noConversion"/>
  </si>
  <si>
    <r>
      <t>C</t>
    </r>
    <r>
      <rPr>
        <vertAlign val="subscript"/>
        <sz val="8"/>
        <rFont val="맑은 고딕"/>
        <family val="3"/>
        <charset val="129"/>
        <scheme val="major"/>
      </rPr>
      <t>2</t>
    </r>
    <r>
      <rPr>
        <sz val="8"/>
        <rFont val="맑은 고딕"/>
        <family val="3"/>
        <charset val="129"/>
        <scheme val="major"/>
      </rPr>
      <t>(cc2)</t>
    </r>
    <phoneticPr fontId="1" type="noConversion"/>
  </si>
  <si>
    <r>
      <t>C</t>
    </r>
    <r>
      <rPr>
        <vertAlign val="subscript"/>
        <sz val="8"/>
        <rFont val="맑은 고딕"/>
        <family val="3"/>
        <charset val="129"/>
        <scheme val="major"/>
      </rPr>
      <t>3</t>
    </r>
    <r>
      <rPr>
        <sz val="8"/>
        <rFont val="맑은 고딕"/>
        <family val="3"/>
        <charset val="129"/>
        <scheme val="major"/>
      </rPr>
      <t>(cc3)</t>
    </r>
    <phoneticPr fontId="1" type="noConversion"/>
  </si>
  <si>
    <r>
      <t>C</t>
    </r>
    <r>
      <rPr>
        <vertAlign val="subscript"/>
        <sz val="8"/>
        <rFont val="맑은 고딕"/>
        <family val="3"/>
        <charset val="129"/>
        <scheme val="major"/>
      </rPr>
      <t>4</t>
    </r>
    <r>
      <rPr>
        <sz val="8"/>
        <rFont val="맑은 고딕"/>
        <family val="3"/>
        <charset val="129"/>
        <scheme val="major"/>
      </rPr>
      <t>(cc4)</t>
    </r>
    <phoneticPr fontId="1" type="noConversion"/>
  </si>
  <si>
    <r>
      <t>e</t>
    </r>
    <r>
      <rPr>
        <vertAlign val="subscript"/>
        <sz val="8"/>
        <rFont val="맑은 고딕"/>
        <family val="3"/>
        <charset val="129"/>
        <scheme val="major"/>
      </rPr>
      <t>1</t>
    </r>
    <r>
      <rPr>
        <sz val="8"/>
        <rFont val="맑은 고딕"/>
        <family val="3"/>
        <charset val="129"/>
        <scheme val="major"/>
      </rPr>
      <t>(ee1)</t>
    </r>
    <phoneticPr fontId="1" type="noConversion"/>
  </si>
  <si>
    <r>
      <t>e</t>
    </r>
    <r>
      <rPr>
        <vertAlign val="subscript"/>
        <sz val="8"/>
        <rFont val="맑은 고딕"/>
        <family val="3"/>
        <charset val="129"/>
        <scheme val="major"/>
      </rPr>
      <t>2</t>
    </r>
    <r>
      <rPr>
        <sz val="8"/>
        <rFont val="맑은 고딕"/>
        <family val="3"/>
        <charset val="129"/>
        <scheme val="major"/>
      </rPr>
      <t>(ee2)</t>
    </r>
    <phoneticPr fontId="1" type="noConversion"/>
  </si>
  <si>
    <r>
      <t>e</t>
    </r>
    <r>
      <rPr>
        <vertAlign val="subscript"/>
        <sz val="8"/>
        <rFont val="맑은 고딕"/>
        <family val="3"/>
        <charset val="129"/>
        <scheme val="major"/>
      </rPr>
      <t>3</t>
    </r>
    <r>
      <rPr>
        <sz val="8"/>
        <rFont val="맑은 고딕"/>
        <family val="3"/>
        <charset val="129"/>
        <scheme val="major"/>
      </rPr>
      <t>(ee3)</t>
    </r>
    <phoneticPr fontId="1" type="noConversion"/>
  </si>
  <si>
    <r>
      <t>e</t>
    </r>
    <r>
      <rPr>
        <vertAlign val="subscript"/>
        <sz val="8"/>
        <rFont val="맑은 고딕"/>
        <family val="3"/>
        <charset val="129"/>
        <scheme val="major"/>
      </rPr>
      <t>4</t>
    </r>
    <r>
      <rPr>
        <sz val="8"/>
        <rFont val="맑은 고딕"/>
        <family val="3"/>
        <charset val="129"/>
        <scheme val="major"/>
      </rPr>
      <t>(ee4)</t>
    </r>
    <phoneticPr fontId="1" type="noConversion"/>
  </si>
  <si>
    <r>
      <rPr>
        <sz val="8"/>
        <rFont val="Calibri"/>
        <family val="3"/>
        <charset val="161"/>
      </rPr>
      <t>Δ</t>
    </r>
    <r>
      <rPr>
        <sz val="8"/>
        <rFont val="맑은 고딕"/>
        <family val="3"/>
        <charset val="129"/>
        <scheme val="major"/>
      </rPr>
      <t>(dd1)</t>
    </r>
    <phoneticPr fontId="1" type="noConversion"/>
  </si>
  <si>
    <t>(kk7)</t>
    <phoneticPr fontId="1" type="noConversion"/>
  </si>
  <si>
    <t>(kk8)</t>
    <phoneticPr fontId="1" type="noConversion"/>
  </si>
  <si>
    <r>
      <t>f</t>
    </r>
    <r>
      <rPr>
        <vertAlign val="subscript"/>
        <sz val="8"/>
        <rFont val="맑은 고딕"/>
        <family val="3"/>
        <charset val="129"/>
        <scheme val="major"/>
      </rPr>
      <t>1</t>
    </r>
    <r>
      <rPr>
        <sz val="8"/>
        <rFont val="맑은 고딕"/>
        <family val="3"/>
        <charset val="129"/>
        <scheme val="major"/>
      </rPr>
      <t>(ff1)</t>
    </r>
    <phoneticPr fontId="1" type="noConversion"/>
  </si>
  <si>
    <r>
      <t>f</t>
    </r>
    <r>
      <rPr>
        <vertAlign val="subscript"/>
        <sz val="8"/>
        <rFont val="맑은 고딕"/>
        <family val="3"/>
        <charset val="129"/>
        <scheme val="major"/>
      </rPr>
      <t>2</t>
    </r>
    <r>
      <rPr>
        <sz val="8"/>
        <rFont val="맑은 고딕"/>
        <family val="3"/>
        <charset val="129"/>
        <scheme val="major"/>
      </rPr>
      <t>(ff2)</t>
    </r>
    <phoneticPr fontId="1" type="noConversion"/>
  </si>
  <si>
    <r>
      <t>f</t>
    </r>
    <r>
      <rPr>
        <vertAlign val="subscript"/>
        <sz val="8"/>
        <rFont val="맑은 고딕"/>
        <family val="3"/>
        <charset val="129"/>
        <scheme val="major"/>
      </rPr>
      <t>3</t>
    </r>
    <r>
      <rPr>
        <sz val="8"/>
        <rFont val="맑은 고딕"/>
        <family val="3"/>
        <charset val="129"/>
        <scheme val="major"/>
      </rPr>
      <t>(ff3)</t>
    </r>
    <phoneticPr fontId="1" type="noConversion"/>
  </si>
  <si>
    <r>
      <t>f</t>
    </r>
    <r>
      <rPr>
        <vertAlign val="subscript"/>
        <sz val="8"/>
        <rFont val="맑은 고딕"/>
        <family val="3"/>
        <charset val="129"/>
        <scheme val="major"/>
      </rPr>
      <t>4</t>
    </r>
    <r>
      <rPr>
        <sz val="8"/>
        <rFont val="맑은 고딕"/>
        <family val="3"/>
        <charset val="129"/>
        <scheme val="major"/>
      </rPr>
      <t>(ff4)</t>
    </r>
    <phoneticPr fontId="1" type="noConversion"/>
  </si>
  <si>
    <r>
      <t>f</t>
    </r>
    <r>
      <rPr>
        <vertAlign val="subscript"/>
        <sz val="8"/>
        <rFont val="맑은 고딕"/>
        <family val="3"/>
        <charset val="129"/>
        <scheme val="major"/>
      </rPr>
      <t>5</t>
    </r>
    <r>
      <rPr>
        <sz val="8"/>
        <rFont val="맑은 고딕"/>
        <family val="3"/>
        <charset val="129"/>
        <scheme val="major"/>
      </rPr>
      <t>(ff5)</t>
    </r>
    <phoneticPr fontId="1" type="noConversion"/>
  </si>
  <si>
    <t>(kk88)</t>
    <phoneticPr fontId="1" type="noConversion"/>
  </si>
  <si>
    <t>(pp3)</t>
    <phoneticPr fontId="1" type="noConversion"/>
  </si>
  <si>
    <t>(pp4)</t>
    <phoneticPr fontId="1" type="noConversion"/>
  </si>
  <si>
    <t>(g1)</t>
    <phoneticPr fontId="1" type="noConversion"/>
  </si>
  <si>
    <t>(g2)</t>
    <phoneticPr fontId="1" type="noConversion"/>
  </si>
  <si>
    <r>
      <t>kN/m</t>
    </r>
    <r>
      <rPr>
        <vertAlign val="superscript"/>
        <sz val="8"/>
        <rFont val="맑은 고딕"/>
        <family val="3"/>
        <charset val="129"/>
        <scheme val="major"/>
      </rPr>
      <t>2</t>
    </r>
    <phoneticPr fontId="1" type="noConversion"/>
  </si>
  <si>
    <t>MPa</t>
    <phoneticPr fontId="1" type="noConversion"/>
  </si>
  <si>
    <t>D</t>
    <phoneticPr fontId="1" type="noConversion"/>
  </si>
  <si>
    <t>관체 외경</t>
    <phoneticPr fontId="1" type="noConversion"/>
  </si>
  <si>
    <t>v</t>
    <phoneticPr fontId="3" type="noConversion"/>
  </si>
  <si>
    <t>v'</t>
    <phoneticPr fontId="3" type="noConversion"/>
  </si>
  <si>
    <t>,</t>
    <phoneticPr fontId="1" type="noConversion"/>
  </si>
  <si>
    <t>일 때</t>
    <phoneticPr fontId="1" type="noConversion"/>
  </si>
  <si>
    <r>
      <t>ξ</t>
    </r>
    <r>
      <rPr>
        <vertAlign val="subscript"/>
        <sz val="8"/>
        <rFont val="Calibri"/>
        <family val="2"/>
      </rPr>
      <t>1</t>
    </r>
    <phoneticPr fontId="1" type="noConversion"/>
  </si>
  <si>
    <r>
      <t>ξ</t>
    </r>
    <r>
      <rPr>
        <vertAlign val="subscript"/>
        <sz val="8"/>
        <rFont val="맑은 고딕"/>
        <family val="2"/>
        <charset val="129"/>
      </rPr>
      <t>2</t>
    </r>
    <phoneticPr fontId="1" type="noConversion"/>
  </si>
  <si>
    <r>
      <rPr>
        <sz val="8"/>
        <rFont val="Calibri"/>
        <family val="3"/>
        <charset val="161"/>
      </rPr>
      <t>ξ</t>
    </r>
    <r>
      <rPr>
        <vertAlign val="subscript"/>
        <sz val="8"/>
        <rFont val="맑은 고딕"/>
        <family val="3"/>
        <charset val="129"/>
        <scheme val="major"/>
      </rPr>
      <t>1</t>
    </r>
    <phoneticPr fontId="1" type="noConversion"/>
  </si>
  <si>
    <r>
      <rPr>
        <sz val="8"/>
        <rFont val="Calibri"/>
        <family val="3"/>
        <charset val="161"/>
      </rPr>
      <t>ξ</t>
    </r>
    <r>
      <rPr>
        <vertAlign val="subscript"/>
        <sz val="8"/>
        <rFont val="맑은 고딕"/>
        <family val="3"/>
        <charset val="129"/>
        <scheme val="major"/>
      </rPr>
      <t>2</t>
    </r>
    <phoneticPr fontId="1" type="noConversion"/>
  </si>
  <si>
    <t xml:space="preserve"> - 지진시 이음부신축량</t>
    <phoneticPr fontId="7" type="noConversion"/>
  </si>
  <si>
    <t>Len</t>
    <phoneticPr fontId="1" type="noConversion"/>
  </si>
  <si>
    <r>
      <t>2</t>
    </r>
    <r>
      <rPr>
        <sz val="8"/>
        <rFont val="Calibri"/>
        <family val="3"/>
        <charset val="161"/>
      </rPr>
      <t>πLen</t>
    </r>
    <phoneticPr fontId="1" type="noConversion"/>
  </si>
  <si>
    <t>(1/ √2)</t>
    <phoneticPr fontId="1" type="noConversion"/>
  </si>
  <si>
    <t xml:space="preserve"> 3) 상시하중으로 발생하는 관체 응력 및 축방향신축량 산정</t>
    <phoneticPr fontId="1" type="noConversion"/>
  </si>
  <si>
    <t xml:space="preserve"> 4) 지진하중으로 발생하는 관체 응력 및 축방향신축량 산정</t>
    <phoneticPr fontId="1" type="noConversion"/>
  </si>
  <si>
    <t>( 1 ) 내압에 의한 축방향 응력 및 이음부 신축량</t>
    <phoneticPr fontId="1" type="noConversion"/>
  </si>
  <si>
    <t xml:space="preserve"> ∙  P</t>
    <phoneticPr fontId="1" type="noConversion"/>
  </si>
  <si>
    <t>(설계내압)</t>
    <phoneticPr fontId="1" type="noConversion"/>
  </si>
  <si>
    <r>
      <t xml:space="preserve"> ∙  </t>
    </r>
    <r>
      <rPr>
        <sz val="8"/>
        <color theme="1"/>
        <rFont val="Calibri"/>
        <family val="3"/>
        <charset val="161"/>
      </rPr>
      <t>ν</t>
    </r>
    <phoneticPr fontId="1" type="noConversion"/>
  </si>
  <si>
    <t>(포아송비)</t>
    <phoneticPr fontId="1" type="noConversion"/>
  </si>
  <si>
    <t xml:space="preserve"> ∙  t</t>
    <phoneticPr fontId="1" type="noConversion"/>
  </si>
  <si>
    <t>(관두께)</t>
    <phoneticPr fontId="1" type="noConversion"/>
  </si>
  <si>
    <t>mm</t>
    <phoneticPr fontId="1" type="noConversion"/>
  </si>
  <si>
    <t xml:space="preserve"> ※ 공칭관두께로부터 주철구조물 공차를 뺀 관두께</t>
    <phoneticPr fontId="1" type="noConversion"/>
  </si>
  <si>
    <t xml:space="preserve"> ∙  D</t>
    <phoneticPr fontId="1" type="noConversion"/>
  </si>
  <si>
    <t>(관체 외경)</t>
    <phoneticPr fontId="1" type="noConversion"/>
  </si>
  <si>
    <t xml:space="preserve"> - 내압에 의한 축방향 응력</t>
    <phoneticPr fontId="7" type="noConversion"/>
  </si>
  <si>
    <t>ν</t>
    <phoneticPr fontId="1" type="noConversion"/>
  </si>
  <si>
    <t>P</t>
    <phoneticPr fontId="1" type="noConversion"/>
  </si>
  <si>
    <t>t</t>
    <phoneticPr fontId="1" type="noConversion"/>
  </si>
  <si>
    <t>2t</t>
    <phoneticPr fontId="1" type="noConversion"/>
  </si>
  <si>
    <t xml:space="preserve"> - 내압에 의한 이음부신축량</t>
    <phoneticPr fontId="7" type="noConversion"/>
  </si>
  <si>
    <r>
      <rPr>
        <sz val="8"/>
        <rFont val="Calibri"/>
        <family val="3"/>
        <charset val="161"/>
      </rPr>
      <t>σ</t>
    </r>
    <r>
      <rPr>
        <sz val="8"/>
        <rFont val="맑은 고딕"/>
        <family val="3"/>
        <charset val="129"/>
        <scheme val="minor"/>
      </rPr>
      <t>i</t>
    </r>
    <phoneticPr fontId="1" type="noConversion"/>
  </si>
  <si>
    <t>( 2 ) 차량하중에 의한 축방향 응력 및 이음부 신축량</t>
    <phoneticPr fontId="1" type="noConversion"/>
  </si>
  <si>
    <t>&gt;&gt;&gt; t</t>
    <phoneticPr fontId="1" type="noConversion"/>
  </si>
  <si>
    <t>공칭관두께로부터 주철구조물 공차를 뺀 관두께</t>
    <phoneticPr fontId="1" type="noConversion"/>
  </si>
  <si>
    <r>
      <t xml:space="preserve"> ∙  P</t>
    </r>
    <r>
      <rPr>
        <vertAlign val="subscript"/>
        <sz val="8"/>
        <color theme="1"/>
        <rFont val="맑은 고딕"/>
        <family val="3"/>
        <charset val="129"/>
        <scheme val="minor"/>
      </rPr>
      <t>m</t>
    </r>
    <phoneticPr fontId="1" type="noConversion"/>
  </si>
  <si>
    <t>kN/輪</t>
    <phoneticPr fontId="3" type="noConversion"/>
  </si>
  <si>
    <t>(차륜 하중)</t>
    <phoneticPr fontId="1" type="noConversion"/>
  </si>
  <si>
    <t xml:space="preserve"> ∙  a</t>
    <phoneticPr fontId="1" type="noConversion"/>
  </si>
  <si>
    <t>(접지폭)</t>
    <phoneticPr fontId="1" type="noConversion"/>
  </si>
  <si>
    <t xml:space="preserve"> ∙  h</t>
    <phoneticPr fontId="1" type="noConversion"/>
  </si>
  <si>
    <t>(흙두께)</t>
    <phoneticPr fontId="1" type="noConversion"/>
  </si>
  <si>
    <r>
      <t xml:space="preserve"> ∙  </t>
    </r>
    <r>
      <rPr>
        <sz val="8"/>
        <color theme="1"/>
        <rFont val="Calibri"/>
        <family val="3"/>
        <charset val="161"/>
      </rPr>
      <t>Θ</t>
    </r>
    <phoneticPr fontId="1" type="noConversion"/>
  </si>
  <si>
    <t>(하중분포각)</t>
    <phoneticPr fontId="1" type="noConversion"/>
  </si>
  <si>
    <t>º</t>
    <phoneticPr fontId="1" type="noConversion"/>
  </si>
  <si>
    <t xml:space="preserve"> ∙  i</t>
    <phoneticPr fontId="1" type="noConversion"/>
  </si>
  <si>
    <t>(충격계수)</t>
    <phoneticPr fontId="1" type="noConversion"/>
  </si>
  <si>
    <r>
      <t xml:space="preserve"> - 차량하중(W</t>
    </r>
    <r>
      <rPr>
        <vertAlign val="subscript"/>
        <sz val="8"/>
        <color rgb="FF000000"/>
        <rFont val="맑은 고딕"/>
        <family val="3"/>
        <charset val="129"/>
        <scheme val="major"/>
      </rPr>
      <t>m</t>
    </r>
    <r>
      <rPr>
        <sz val="8"/>
        <color indexed="8"/>
        <rFont val="맑은 고딕"/>
        <family val="3"/>
        <charset val="129"/>
        <scheme val="major"/>
      </rPr>
      <t>)</t>
    </r>
    <phoneticPr fontId="7" type="noConversion"/>
  </si>
  <si>
    <r>
      <t>W</t>
    </r>
    <r>
      <rPr>
        <vertAlign val="subscript"/>
        <sz val="8"/>
        <color theme="1"/>
        <rFont val="맑은 고딕"/>
        <family val="3"/>
        <charset val="129"/>
        <scheme val="minor"/>
      </rPr>
      <t>m</t>
    </r>
    <phoneticPr fontId="1" type="noConversion"/>
  </si>
  <si>
    <r>
      <t>P</t>
    </r>
    <r>
      <rPr>
        <vertAlign val="subscript"/>
        <sz val="8"/>
        <rFont val="맑은 고딕"/>
        <family val="3"/>
        <charset val="129"/>
        <scheme val="minor"/>
      </rPr>
      <t>m</t>
    </r>
    <phoneticPr fontId="1" type="noConversion"/>
  </si>
  <si>
    <t>a</t>
    <phoneticPr fontId="1" type="noConversion"/>
  </si>
  <si>
    <t>( 1 + i )</t>
    <phoneticPr fontId="1" type="noConversion"/>
  </si>
  <si>
    <t xml:space="preserve"> - 차량하중에 의한 이음부신축량</t>
    <phoneticPr fontId="7" type="noConversion"/>
  </si>
  <si>
    <t xml:space="preserve"> - 차량하중에 의한 축방향 응력</t>
    <phoneticPr fontId="7" type="noConversion"/>
  </si>
  <si>
    <r>
      <t>W</t>
    </r>
    <r>
      <rPr>
        <vertAlign val="subscript"/>
        <sz val="8"/>
        <rFont val="맑은 고딕"/>
        <family val="3"/>
        <charset val="129"/>
        <scheme val="minor"/>
      </rPr>
      <t>m</t>
    </r>
    <phoneticPr fontId="1" type="noConversion"/>
  </si>
  <si>
    <t>√</t>
    <phoneticPr fontId="1" type="noConversion"/>
  </si>
  <si>
    <t>Kv</t>
    <phoneticPr fontId="1" type="noConversion"/>
  </si>
  <si>
    <t>x</t>
    <phoneticPr fontId="1" type="noConversion"/>
  </si>
  <si>
    <t xml:space="preserve"> ∙  I</t>
    <phoneticPr fontId="1" type="noConversion"/>
  </si>
  <si>
    <t>(단면2차모멘트)</t>
    <phoneticPr fontId="1" type="noConversion"/>
  </si>
  <si>
    <r>
      <t>m</t>
    </r>
    <r>
      <rPr>
        <vertAlign val="superscript"/>
        <sz val="8"/>
        <color theme="1"/>
        <rFont val="맑은 고딕"/>
        <family val="3"/>
        <charset val="129"/>
        <scheme val="minor"/>
      </rPr>
      <t>4</t>
    </r>
    <phoneticPr fontId="1" type="noConversion"/>
  </si>
  <si>
    <t xml:space="preserve"> ∙  Z</t>
    <phoneticPr fontId="1" type="noConversion"/>
  </si>
  <si>
    <t>Z</t>
    <phoneticPr fontId="1" type="noConversion"/>
  </si>
  <si>
    <t>(단면계수)</t>
    <phoneticPr fontId="1" type="noConversion"/>
  </si>
  <si>
    <r>
      <t>m</t>
    </r>
    <r>
      <rPr>
        <vertAlign val="superscript"/>
        <sz val="8"/>
        <color theme="1"/>
        <rFont val="맑은 고딕"/>
        <family val="3"/>
        <charset val="129"/>
        <scheme val="minor"/>
      </rPr>
      <t>3</t>
    </r>
    <phoneticPr fontId="1" type="noConversion"/>
  </si>
  <si>
    <t xml:space="preserve"> ∙  Kv</t>
    <phoneticPr fontId="1" type="noConversion"/>
  </si>
  <si>
    <t>(지반반력계수)</t>
    <phoneticPr fontId="1" type="noConversion"/>
  </si>
  <si>
    <r>
      <t>kN/m</t>
    </r>
    <r>
      <rPr>
        <vertAlign val="superscript"/>
        <sz val="8"/>
        <color theme="1"/>
        <rFont val="맑은 고딕"/>
        <family val="3"/>
        <charset val="129"/>
        <scheme val="minor"/>
      </rPr>
      <t>2</t>
    </r>
    <phoneticPr fontId="1" type="noConversion"/>
  </si>
  <si>
    <t>σo</t>
    <phoneticPr fontId="1" type="noConversion"/>
  </si>
  <si>
    <t>( 3 ) 온도변화에 의한 이음부신축량</t>
    <phoneticPr fontId="1" type="noConversion"/>
  </si>
  <si>
    <r>
      <t xml:space="preserve"> ∙  </t>
    </r>
    <r>
      <rPr>
        <sz val="8"/>
        <color theme="1"/>
        <rFont val="Calibri"/>
        <family val="3"/>
        <charset val="161"/>
      </rPr>
      <t>Δ</t>
    </r>
    <r>
      <rPr>
        <sz val="8"/>
        <color theme="1"/>
        <rFont val="맑은 고딕"/>
        <family val="3"/>
        <charset val="129"/>
        <scheme val="minor"/>
      </rPr>
      <t>T</t>
    </r>
    <phoneticPr fontId="1" type="noConversion"/>
  </si>
  <si>
    <t>(온도변화)</t>
    <phoneticPr fontId="1" type="noConversion"/>
  </si>
  <si>
    <r>
      <t xml:space="preserve"> ∙  </t>
    </r>
    <r>
      <rPr>
        <sz val="8"/>
        <color theme="1"/>
        <rFont val="Calibri"/>
        <family val="3"/>
        <charset val="161"/>
      </rPr>
      <t>α</t>
    </r>
    <phoneticPr fontId="1" type="noConversion"/>
  </si>
  <si>
    <t>(선팽창계수)</t>
    <phoneticPr fontId="1" type="noConversion"/>
  </si>
  <si>
    <t>α</t>
    <phoneticPr fontId="1" type="noConversion"/>
  </si>
  <si>
    <t>ΔT</t>
    <phoneticPr fontId="1" type="noConversion"/>
  </si>
  <si>
    <t>( 4 ) 부등침하에 의한 이음부신축량</t>
    <phoneticPr fontId="1" type="noConversion"/>
  </si>
  <si>
    <r>
      <t>- 부등침하(</t>
    </r>
    <r>
      <rPr>
        <sz val="8"/>
        <color rgb="FF000000"/>
        <rFont val="Calibri"/>
        <family val="3"/>
        <charset val="161"/>
      </rPr>
      <t>δ</t>
    </r>
    <r>
      <rPr>
        <sz val="8"/>
        <color indexed="8"/>
        <rFont val="맑은 고딕"/>
        <family val="3"/>
        <charset val="129"/>
        <scheme val="major"/>
      </rPr>
      <t>)</t>
    </r>
    <phoneticPr fontId="1" type="noConversion"/>
  </si>
  <si>
    <r>
      <t xml:space="preserve"> ∙  </t>
    </r>
    <r>
      <rPr>
        <sz val="8"/>
        <color theme="1"/>
        <rFont val="Calibri"/>
        <family val="3"/>
        <charset val="161"/>
      </rPr>
      <t>δ</t>
    </r>
    <phoneticPr fontId="1" type="noConversion"/>
  </si>
  <si>
    <t>(부등 침하)</t>
    <phoneticPr fontId="1" type="noConversion"/>
  </si>
  <si>
    <r>
      <t>영향길이(L</t>
    </r>
    <r>
      <rPr>
        <sz val="8"/>
        <color rgb="FF000000"/>
        <rFont val="Calibri"/>
        <family val="3"/>
        <charset val="161"/>
      </rPr>
      <t>δ</t>
    </r>
    <r>
      <rPr>
        <sz val="8"/>
        <color indexed="8"/>
        <rFont val="맑은 고딕"/>
        <family val="3"/>
        <charset val="129"/>
        <scheme val="major"/>
      </rPr>
      <t>)</t>
    </r>
    <phoneticPr fontId="1" type="noConversion"/>
  </si>
  <si>
    <t>(영향 길이)</t>
    <phoneticPr fontId="1" type="noConversion"/>
  </si>
  <si>
    <r>
      <rPr>
        <sz val="8"/>
        <color theme="1"/>
        <rFont val="Calibri"/>
        <family val="3"/>
        <charset val="161"/>
      </rPr>
      <t>Δ</t>
    </r>
    <r>
      <rPr>
        <sz val="8"/>
        <color theme="1"/>
        <rFont val="맑은 고딕"/>
        <family val="3"/>
        <charset val="129"/>
        <scheme val="minor"/>
      </rPr>
      <t>L</t>
    </r>
    <phoneticPr fontId="1" type="noConversion"/>
  </si>
  <si>
    <r>
      <rPr>
        <sz val="8"/>
        <rFont val="Calibri"/>
        <family val="3"/>
        <charset val="161"/>
      </rPr>
      <t>δ</t>
    </r>
    <r>
      <rPr>
        <sz val="8"/>
        <rFont val="맑은 고딕"/>
        <family val="3"/>
        <charset val="129"/>
        <scheme val="minor"/>
      </rPr>
      <t xml:space="preserve"> </t>
    </r>
    <r>
      <rPr>
        <vertAlign val="superscript"/>
        <sz val="8"/>
        <rFont val="맑은 고딕"/>
        <family val="3"/>
        <charset val="129"/>
        <scheme val="minor"/>
      </rPr>
      <t>2</t>
    </r>
    <phoneticPr fontId="1" type="noConversion"/>
  </si>
  <si>
    <t>④ 기반암 표준설계속도응답스펙트럼</t>
    <phoneticPr fontId="1" type="noConversion"/>
  </si>
  <si>
    <r>
      <t>⑤ 설계속도 응답스펙트럼(S</t>
    </r>
    <r>
      <rPr>
        <vertAlign val="subscript"/>
        <sz val="8"/>
        <color theme="1"/>
        <rFont val="맑은 고딕"/>
        <family val="3"/>
        <charset val="129"/>
        <scheme val="minor"/>
      </rPr>
      <t>V</t>
    </r>
    <r>
      <rPr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</si>
  <si>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>항 목</t>
    <phoneticPr fontId="1" type="noConversion"/>
  </si>
  <si>
    <t>상시</t>
    <phoneticPr fontId="1" type="noConversion"/>
  </si>
  <si>
    <t>설계내압</t>
    <phoneticPr fontId="1" type="noConversion"/>
  </si>
  <si>
    <t>차량하중</t>
    <phoneticPr fontId="1" type="noConversion"/>
  </si>
  <si>
    <t>평가결과</t>
    <phoneticPr fontId="1" type="noConversion"/>
  </si>
  <si>
    <t>온도효과</t>
    <phoneticPr fontId="1" type="noConversion"/>
  </si>
  <si>
    <t>부등침하</t>
    <phoneticPr fontId="1" type="noConversion"/>
  </si>
  <si>
    <t>신축량(m)</t>
    <phoneticPr fontId="1" type="noConversion"/>
  </si>
  <si>
    <t>- 지진구역</t>
    <phoneticPr fontId="3" type="noConversion"/>
  </si>
  <si>
    <t>- 내진등급</t>
    <phoneticPr fontId="3" type="noConversion"/>
  </si>
  <si>
    <t>- 내진성능수준</t>
    <phoneticPr fontId="3" type="noConversion"/>
  </si>
  <si>
    <t>- 평균재현주기</t>
    <phoneticPr fontId="3" type="noConversion"/>
  </si>
  <si>
    <t>- 지반 분류</t>
    <phoneticPr fontId="3" type="noConversion"/>
  </si>
  <si>
    <t>- 기능수행수준 유효지반가속도, S</t>
    <phoneticPr fontId="3" type="noConversion"/>
  </si>
  <si>
    <t>- 붕괴방지수준 유효지반가속도, S</t>
    <phoneticPr fontId="3" type="noConversion"/>
  </si>
  <si>
    <r>
      <t xml:space="preserve">- 관체 발생응력 내진성능평가, </t>
    </r>
    <r>
      <rPr>
        <sz val="8"/>
        <rFont val="Calibri"/>
        <family val="3"/>
        <charset val="161"/>
      </rPr>
      <t>σ</t>
    </r>
    <phoneticPr fontId="3" type="noConversion"/>
  </si>
  <si>
    <t>- 관체 신축량 내진성능평가, e</t>
    <phoneticPr fontId="3" type="noConversion"/>
  </si>
  <si>
    <t>■ Sta.No.0 + 0.0 주철관 내진안전성평가</t>
    <phoneticPr fontId="1" type="noConversion"/>
  </si>
  <si>
    <t xml:space="preserve"> 5) 결과정리</t>
    <phoneticPr fontId="1" type="noConversion"/>
  </si>
  <si>
    <t xml:space="preserve"> 6) 검토 지반조건</t>
    <phoneticPr fontId="1" type="noConversion"/>
  </si>
  <si>
    <t>2  ·  t  ·  E</t>
    <phoneticPr fontId="1" type="noConversion"/>
  </si>
  <si>
    <t xml:space="preserve"> ∙  E</t>
    <phoneticPr fontId="1" type="noConversion"/>
  </si>
  <si>
    <t>(탄성계수)</t>
    <phoneticPr fontId="1" type="noConversion"/>
  </si>
  <si>
    <t xml:space="preserve"> - 내압에 의한 축방향 변형률</t>
    <phoneticPr fontId="7" type="noConversion"/>
  </si>
  <si>
    <t>Z · E</t>
    <phoneticPr fontId="1" type="noConversion"/>
  </si>
  <si>
    <t>(연약지반구간)</t>
    <phoneticPr fontId="1" type="noConversion"/>
  </si>
  <si>
    <t>(흙 두께)</t>
    <phoneticPr fontId="1" type="noConversion"/>
  </si>
  <si>
    <t>(성토 높이)</t>
    <phoneticPr fontId="1" type="noConversion"/>
  </si>
  <si>
    <t xml:space="preserve"> ∙  h"</t>
    <phoneticPr fontId="1" type="noConversion"/>
  </si>
  <si>
    <t>(흙 단위중량)</t>
    <phoneticPr fontId="1" type="noConversion"/>
  </si>
  <si>
    <t>성토높이(h")</t>
    <phoneticPr fontId="1" type="noConversion"/>
  </si>
  <si>
    <r>
      <t>2·h·tan</t>
    </r>
    <r>
      <rPr>
        <sz val="8"/>
        <color theme="1"/>
        <rFont val="Calibri"/>
        <family val="3"/>
        <charset val="161"/>
      </rPr>
      <t>Θ</t>
    </r>
    <r>
      <rPr>
        <sz val="8"/>
        <color theme="1"/>
        <rFont val="맑은 고딕"/>
        <family val="3"/>
        <charset val="129"/>
        <scheme val="minor"/>
      </rPr>
      <t>) )</t>
    </r>
    <phoneticPr fontId="1" type="noConversion"/>
  </si>
  <si>
    <t>(지반 강성계수)</t>
    <phoneticPr fontId="1" type="noConversion"/>
  </si>
  <si>
    <t>β</t>
    <phoneticPr fontId="1" type="noConversion"/>
  </si>
  <si>
    <t>4EI</t>
    <phoneticPr fontId="1" type="noConversion"/>
  </si>
  <si>
    <t>SIN</t>
    <phoneticPr fontId="1" type="noConversion"/>
  </si>
  <si>
    <t>γ</t>
    <phoneticPr fontId="1" type="noConversion"/>
  </si>
  <si>
    <t>( h + h" )</t>
    <phoneticPr fontId="1" type="noConversion"/>
  </si>
  <si>
    <t>kN/m</t>
    <phoneticPr fontId="1" type="noConversion"/>
  </si>
  <si>
    <t>{</t>
    <phoneticPr fontId="1" type="noConversion"/>
  </si>
  <si>
    <t>}</t>
    <phoneticPr fontId="1" type="noConversion"/>
  </si>
  <si>
    <t>M</t>
    <phoneticPr fontId="1" type="noConversion"/>
  </si>
  <si>
    <t>max(M1, M2)</t>
    <phoneticPr fontId="1" type="noConversion"/>
  </si>
  <si>
    <t>( M / EI )</t>
    <phoneticPr fontId="1" type="noConversion"/>
  </si>
  <si>
    <t>( D / 2 )</t>
    <phoneticPr fontId="1" type="noConversion"/>
  </si>
  <si>
    <t xml:space="preserve"> - 관로의 축방향 변형률</t>
    <phoneticPr fontId="7" type="noConversion"/>
  </si>
  <si>
    <t>(지반변형율-관축방향)</t>
    <phoneticPr fontId="3" type="noConversion"/>
  </si>
  <si>
    <t>π</t>
    <phoneticPr fontId="3" type="noConversion"/>
  </si>
  <si>
    <t>(항복점 변형율)</t>
    <phoneticPr fontId="3" type="noConversion"/>
  </si>
  <si>
    <t>23 t / D %</t>
    <phoneticPr fontId="3" type="noConversion"/>
  </si>
  <si>
    <t xml:space="preserve"> - 붕괴방지수준의 축방향 변형률</t>
    <phoneticPr fontId="7" type="noConversion"/>
  </si>
  <si>
    <t>τ</t>
    <phoneticPr fontId="3" type="noConversion"/>
  </si>
  <si>
    <t>(강관과 지반의 마찰력)</t>
    <phoneticPr fontId="3" type="noConversion"/>
  </si>
  <si>
    <t>ξ</t>
    <phoneticPr fontId="3" type="noConversion"/>
  </si>
  <si>
    <t>(국부좌굴 개시변형율)</t>
    <phoneticPr fontId="3" type="noConversion"/>
  </si>
  <si>
    <t>46 t / D %</t>
    <phoneticPr fontId="3" type="noConversion"/>
  </si>
  <si>
    <t>매립층-2</t>
    <phoneticPr fontId="1" type="noConversion"/>
  </si>
  <si>
    <t>C</t>
    <phoneticPr fontId="1" type="noConversion"/>
  </si>
  <si>
    <r>
      <t>설계전단파 속도
(V</t>
    </r>
    <r>
      <rPr>
        <b/>
        <vertAlign val="subscript"/>
        <sz val="8"/>
        <rFont val="맑은 고딕"/>
        <family val="3"/>
        <charset val="129"/>
        <scheme val="minor"/>
      </rPr>
      <t>DSi</t>
    </r>
    <r>
      <rPr>
        <b/>
        <sz val="8"/>
        <rFont val="맑은 고딕"/>
        <family val="3"/>
        <charset val="129"/>
        <scheme val="minor"/>
      </rPr>
      <t>, m/s)</t>
    </r>
    <phoneticPr fontId="1" type="noConversion"/>
  </si>
  <si>
    <r>
      <t>초기전단파 속도
(V</t>
    </r>
    <r>
      <rPr>
        <b/>
        <vertAlign val="subscript"/>
        <sz val="8"/>
        <rFont val="맑은 고딕"/>
        <family val="3"/>
        <charset val="129"/>
        <scheme val="minor"/>
      </rPr>
      <t>Si</t>
    </r>
    <r>
      <rPr>
        <b/>
        <sz val="8"/>
        <rFont val="맑은 고딕"/>
        <family val="3"/>
        <charset val="129"/>
        <scheme val="minor"/>
      </rPr>
      <t>, m/s)</t>
    </r>
    <phoneticPr fontId="1" type="noConversion"/>
  </si>
  <si>
    <r>
      <t>※ 지반변형에 대한 보정계수(C) : 0.8 (V</t>
    </r>
    <r>
      <rPr>
        <vertAlign val="subscript"/>
        <sz val="8"/>
        <color theme="1"/>
        <rFont val="맑은 고딕"/>
        <family val="3"/>
        <charset val="129"/>
        <scheme val="minor"/>
      </rPr>
      <t>si</t>
    </r>
    <r>
      <rPr>
        <sz val="8"/>
        <color theme="1"/>
        <rFont val="맑은 고딕"/>
        <family val="3"/>
        <charset val="129"/>
        <scheme val="minor"/>
      </rPr>
      <t xml:space="preserve"> &lt; 360 m/s), 1.0 (V</t>
    </r>
    <r>
      <rPr>
        <vertAlign val="subscript"/>
        <sz val="8"/>
        <color theme="1"/>
        <rFont val="맑은 고딕"/>
        <family val="3"/>
        <charset val="129"/>
        <scheme val="minor"/>
      </rPr>
      <t>si</t>
    </r>
    <r>
      <rPr>
        <sz val="8"/>
        <color theme="1"/>
        <rFont val="맑은 고딕"/>
        <family val="3"/>
        <charset val="129"/>
        <scheme val="minor"/>
      </rPr>
      <t xml:space="preserve"> ≥ 360 m/s)</t>
    </r>
    <phoneticPr fontId="1" type="noConversion"/>
  </si>
  <si>
    <r>
      <t>설계전단파속도
V</t>
    </r>
    <r>
      <rPr>
        <b/>
        <vertAlign val="subscript"/>
        <sz val="8"/>
        <rFont val="맑은 고딕"/>
        <family val="3"/>
        <charset val="129"/>
        <scheme val="minor"/>
      </rPr>
      <t>si</t>
    </r>
    <r>
      <rPr>
        <b/>
        <sz val="8"/>
        <rFont val="맑은 고딕"/>
        <family val="3"/>
        <charset val="129"/>
        <scheme val="minor"/>
      </rPr>
      <t xml:space="preserve"> (m/s)</t>
    </r>
    <phoneticPr fontId="1" type="noConversion"/>
  </si>
  <si>
    <t>(비선형성을 고려한 표층지반의 설계고유주기)</t>
    <phoneticPr fontId="1" type="noConversion"/>
  </si>
  <si>
    <r>
      <t xml:space="preserve"> ∙  비선형성을 고려한 표층지반의 평균 전단파속도(V</t>
    </r>
    <r>
      <rPr>
        <vertAlign val="subscript"/>
        <sz val="8"/>
        <color theme="1"/>
        <rFont val="맑은 고딕"/>
        <family val="3"/>
        <charset val="129"/>
        <scheme val="minor"/>
      </rPr>
      <t>DS</t>
    </r>
    <r>
      <rPr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</si>
  <si>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 xml:space="preserve"> ∙  표층지반의 평균 전단파속도(Vs)</t>
    <phoneticPr fontId="1" type="noConversion"/>
  </si>
  <si>
    <r>
      <t>V</t>
    </r>
    <r>
      <rPr>
        <vertAlign val="subscript"/>
        <sz val="8"/>
        <rFont val="맑은 고딕"/>
        <family val="3"/>
        <charset val="129"/>
        <scheme val="major"/>
      </rPr>
      <t>DS</t>
    </r>
    <phoneticPr fontId="3" type="noConversion"/>
  </si>
  <si>
    <r>
      <t>V</t>
    </r>
    <r>
      <rPr>
        <vertAlign val="subscript"/>
        <sz val="8"/>
        <rFont val="맑은 고딕"/>
        <family val="3"/>
        <charset val="129"/>
        <scheme val="major"/>
      </rPr>
      <t>BS</t>
    </r>
    <phoneticPr fontId="3" type="noConversion"/>
  </si>
  <si>
    <r>
      <t>L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</si>
  <si>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t>L</t>
    </r>
    <r>
      <rPr>
        <vertAlign val="subscript"/>
        <sz val="8"/>
        <color rgb="FF000000"/>
        <rFont val="맑은 고딕"/>
        <family val="3"/>
        <charset val="129"/>
        <scheme val="major"/>
      </rPr>
      <t>2</t>
    </r>
    <phoneticPr fontId="3" type="noConversion"/>
  </si>
  <si>
    <r>
      <t>V</t>
    </r>
    <r>
      <rPr>
        <vertAlign val="subscript"/>
        <sz val="8"/>
        <rFont val="맑은 고딕"/>
        <family val="3"/>
        <charset val="129"/>
        <scheme val="major"/>
      </rPr>
      <t>DS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</si>
  <si>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K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</si>
  <si>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t>K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</si>
  <si>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r>
      <t>T</t>
    </r>
    <r>
      <rPr>
        <vertAlign val="subscript"/>
        <sz val="8"/>
        <color rgb="FF000000"/>
        <rFont val="맑은 고딕"/>
        <family val="3"/>
        <charset val="129"/>
        <scheme val="major"/>
      </rPr>
      <t>S</t>
    </r>
    <phoneticPr fontId="3" type="noConversion"/>
  </si>
  <si>
    <r>
      <t>L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</si>
  <si>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r>
      <rPr>
        <sz val="8"/>
        <rFont val="Calibri"/>
        <family val="3"/>
        <charset val="161"/>
      </rPr>
      <t>λ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</si>
  <si>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rPr>
        <sz val="8"/>
        <rFont val="Calibri"/>
        <family val="3"/>
        <charset val="161"/>
      </rPr>
      <t>λ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</si>
  <si>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r>
      <t>( K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</si>
  <si>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t>A )</t>
    <phoneticPr fontId="3" type="noConversion"/>
  </si>
  <si>
    <t>⁴</t>
    <phoneticPr fontId="1" type="noConversion"/>
  </si>
  <si>
    <r>
      <t>a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</si>
  <si>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t>a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</si>
  <si>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t>Len</t>
    <phoneticPr fontId="1" type="noConversion"/>
  </si>
  <si>
    <t>m</t>
    <phoneticPr fontId="1" type="noConversion"/>
  </si>
  <si>
    <r>
      <rPr>
        <sz val="8"/>
        <rFont val="Calibri"/>
        <family val="3"/>
        <charset val="161"/>
      </rPr>
      <t>λ</t>
    </r>
    <r>
      <rPr>
        <vertAlign val="subscript"/>
        <sz val="8"/>
        <rFont val="맑은 고딕"/>
        <family val="3"/>
        <charset val="129"/>
        <scheme val="major"/>
      </rPr>
      <t>1</t>
    </r>
    <r>
      <rPr>
        <sz val="8"/>
        <rFont val="맑은 고딕"/>
        <family val="3"/>
        <charset val="129"/>
      </rPr>
      <t>L</t>
    </r>
    <r>
      <rPr>
        <sz val="8"/>
        <rFont val="맑은 고딕"/>
        <family val="3"/>
        <charset val="161"/>
        <scheme val="major"/>
      </rPr>
      <t>'</t>
    </r>
    <phoneticPr fontId="3" type="noConversion"/>
  </si>
  <si>
    <r>
      <rPr>
        <sz val="8"/>
        <rFont val="Calibri"/>
        <family val="3"/>
        <charset val="161"/>
      </rPr>
      <t>λ</t>
    </r>
    <r>
      <rPr>
        <vertAlign val="subscript"/>
        <sz val="8"/>
        <rFont val="맑은 고딕"/>
        <family val="3"/>
        <charset val="129"/>
        <scheme val="major"/>
      </rPr>
      <t>2</t>
    </r>
    <r>
      <rPr>
        <sz val="8"/>
        <rFont val="Calibri"/>
        <family val="3"/>
      </rPr>
      <t>L</t>
    </r>
    <phoneticPr fontId="3" type="noConversion"/>
  </si>
  <si>
    <r>
      <rPr>
        <sz val="8"/>
        <rFont val="맑은 고딕"/>
        <family val="3"/>
        <charset val="129"/>
      </rPr>
      <t>σ</t>
    </r>
    <r>
      <rPr>
        <vertAlign val="subscript"/>
        <sz val="8"/>
        <rFont val="맑은 고딕"/>
        <family val="3"/>
        <charset val="129"/>
        <scheme val="major"/>
      </rPr>
      <t>L</t>
    </r>
    <phoneticPr fontId="3" type="noConversion"/>
  </si>
  <si>
    <r>
      <rPr>
        <sz val="8"/>
        <rFont val="Calibri"/>
        <family val="3"/>
        <charset val="161"/>
      </rPr>
      <t>σ</t>
    </r>
    <r>
      <rPr>
        <vertAlign val="subscript"/>
        <sz val="8"/>
        <rFont val="맑은 고딕"/>
        <family val="3"/>
        <charset val="129"/>
        <scheme val="major"/>
      </rPr>
      <t>B</t>
    </r>
    <phoneticPr fontId="3" type="noConversion"/>
  </si>
  <si>
    <r>
      <rPr>
        <sz val="8"/>
        <rFont val="Calibri"/>
        <family val="3"/>
        <charset val="161"/>
      </rPr>
      <t>σ</t>
    </r>
    <r>
      <rPr>
        <sz val="8"/>
        <rFont val="맑은 고딕"/>
        <family val="3"/>
        <charset val="129"/>
      </rPr>
      <t>'</t>
    </r>
    <r>
      <rPr>
        <vertAlign val="subscript"/>
        <sz val="8"/>
        <rFont val="맑은 고딕"/>
        <family val="3"/>
        <charset val="129"/>
        <scheme val="major"/>
      </rPr>
      <t>L</t>
    </r>
    <phoneticPr fontId="3" type="noConversion"/>
  </si>
  <si>
    <r>
      <rPr>
        <sz val="8"/>
        <rFont val="Calibri"/>
        <family val="3"/>
        <charset val="161"/>
      </rPr>
      <t>σ'</t>
    </r>
    <r>
      <rPr>
        <vertAlign val="subscript"/>
        <sz val="8"/>
        <rFont val="맑은 고딕"/>
        <family val="3"/>
        <charset val="129"/>
        <scheme val="major"/>
      </rPr>
      <t>B</t>
    </r>
    <phoneticPr fontId="3" type="noConversion"/>
  </si>
  <si>
    <r>
      <rPr>
        <sz val="8"/>
        <rFont val="Calibri"/>
        <family val="3"/>
        <charset val="161"/>
      </rPr>
      <t>σ</t>
    </r>
    <r>
      <rPr>
        <vertAlign val="subscript"/>
        <sz val="8"/>
        <rFont val="맑은 고딕"/>
        <family val="3"/>
        <charset val="129"/>
        <scheme val="major"/>
      </rPr>
      <t>L</t>
    </r>
    <phoneticPr fontId="1" type="noConversion"/>
  </si>
  <si>
    <r>
      <rPr>
        <sz val="8"/>
        <rFont val="Calibri"/>
        <family val="3"/>
        <charset val="161"/>
      </rPr>
      <t>σ</t>
    </r>
    <r>
      <rPr>
        <vertAlign val="subscript"/>
        <sz val="8"/>
        <rFont val="맑은 고딕"/>
        <family val="3"/>
        <charset val="129"/>
        <scheme val="major"/>
      </rPr>
      <t>B</t>
    </r>
    <phoneticPr fontId="1" type="noConversion"/>
  </si>
  <si>
    <r>
      <rPr>
        <sz val="8"/>
        <rFont val="Calibri"/>
        <family val="3"/>
        <charset val="161"/>
      </rPr>
      <t>σ</t>
    </r>
    <r>
      <rPr>
        <sz val="8"/>
        <rFont val="맑은 고딕"/>
        <family val="3"/>
        <charset val="129"/>
      </rPr>
      <t>'</t>
    </r>
    <r>
      <rPr>
        <vertAlign val="subscript"/>
        <sz val="8"/>
        <rFont val="맑은 고딕"/>
        <family val="3"/>
        <charset val="129"/>
        <scheme val="major"/>
      </rPr>
      <t>L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</si>
  <si>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rPr>
        <sz val="8"/>
        <rFont val="Calibri"/>
        <family val="3"/>
        <charset val="161"/>
      </rPr>
      <t>σ'</t>
    </r>
    <r>
      <rPr>
        <vertAlign val="subscript"/>
        <sz val="8"/>
        <rFont val="맑은 고딕"/>
        <family val="3"/>
        <charset val="129"/>
        <scheme val="major"/>
      </rPr>
      <t>B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</si>
  <si>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rPr>
        <sz val="8"/>
        <rFont val="Calibri"/>
        <family val="3"/>
        <charset val="161"/>
      </rPr>
      <t>σ</t>
    </r>
    <r>
      <rPr>
        <vertAlign val="subscript"/>
        <sz val="8"/>
        <rFont val="Calibri"/>
        <family val="2"/>
      </rPr>
      <t>x</t>
    </r>
    <r>
      <rPr>
        <sz val="8"/>
        <rFont val="Calibri"/>
        <family val="3"/>
        <charset val="161"/>
      </rPr>
      <t>(</t>
    </r>
    <r>
      <rPr>
        <sz val="8"/>
        <rFont val="맑은 고딕"/>
        <family val="3"/>
        <charset val="129"/>
      </rPr>
      <t>붕괴)</t>
    </r>
    <phoneticPr fontId="3" type="noConversion"/>
  </si>
  <si>
    <t>지진시</t>
    <phoneticPr fontId="1" type="noConversion"/>
  </si>
  <si>
    <t>축방향응력 합계</t>
    <phoneticPr fontId="1" type="noConversion"/>
  </si>
  <si>
    <t>허용응력</t>
    <phoneticPr fontId="1" type="noConversion"/>
  </si>
  <si>
    <t>-</t>
    <phoneticPr fontId="1" type="noConversion"/>
  </si>
  <si>
    <t>이음부 신축량 합계</t>
    <phoneticPr fontId="1" type="noConversion"/>
  </si>
  <si>
    <t>허용신축량</t>
    <phoneticPr fontId="1" type="noConversion"/>
  </si>
  <si>
    <t xml:space="preserve"> ∙ 기능수행수준과 붕괴방지수준에 해석방법이 동일하므로, 지진력이 낮은 기능수행수준은 붕괴방지수준을</t>
    <phoneticPr fontId="1" type="noConversion"/>
  </si>
  <si>
    <t xml:space="preserve">   만족하는 경우 동일하게 만족하는 것으로 가름함</t>
    <phoneticPr fontId="1" type="noConversion"/>
  </si>
  <si>
    <t>( 2 ) 지진에 의한 축방향 응력 및 이음부 신축량</t>
    <phoneticPr fontId="1" type="noConversion"/>
  </si>
  <si>
    <t>COS</t>
    <phoneticPr fontId="1" type="noConversion"/>
  </si>
  <si>
    <t>( E</t>
    <phoneticPr fontId="3" type="noConversion"/>
  </si>
  <si>
    <r>
      <t>- 기능수행수준 최대지반가속도, K</t>
    </r>
    <r>
      <rPr>
        <vertAlign val="subscript"/>
        <sz val="8"/>
        <rFont val="맑은 고딕"/>
        <family val="3"/>
        <charset val="129"/>
        <scheme val="major"/>
      </rPr>
      <t>h</t>
    </r>
    <phoneticPr fontId="3" type="noConversion"/>
  </si>
  <si>
    <r>
      <t>- 붕괴방지수준 최대지반가속도, K</t>
    </r>
    <r>
      <rPr>
        <vertAlign val="subscript"/>
        <sz val="8"/>
        <rFont val="맑은 고딕"/>
        <family val="3"/>
        <charset val="129"/>
        <scheme val="major"/>
      </rPr>
      <t>h</t>
    </r>
    <phoneticPr fontId="3" type="noConversion"/>
  </si>
  <si>
    <r>
      <t>- 지반의 고유주기, T</t>
    </r>
    <r>
      <rPr>
        <vertAlign val="subscript"/>
        <sz val="8"/>
        <rFont val="맑은 고딕"/>
        <family val="3"/>
        <charset val="129"/>
        <scheme val="major"/>
      </rPr>
      <t>G</t>
    </r>
    <phoneticPr fontId="3" type="noConversion"/>
  </si>
  <si>
    <r>
      <t>- 지반의 설계고유주기, T</t>
    </r>
    <r>
      <rPr>
        <vertAlign val="subscript"/>
        <sz val="8"/>
        <rFont val="맑은 고딕"/>
        <family val="3"/>
        <charset val="129"/>
        <scheme val="major"/>
      </rPr>
      <t>S</t>
    </r>
    <phoneticPr fontId="3" type="noConversion"/>
  </si>
  <si>
    <r>
      <t>- 붕괴방지수준 설계지진력, S</t>
    </r>
    <r>
      <rPr>
        <vertAlign val="subscript"/>
        <sz val="8"/>
        <rFont val="맑은 고딕"/>
        <family val="3"/>
        <charset val="129"/>
        <scheme val="major"/>
      </rPr>
      <t>v</t>
    </r>
    <phoneticPr fontId="3" type="noConversion"/>
  </si>
  <si>
    <r>
      <t xml:space="preserve">- 허용 응력, </t>
    </r>
    <r>
      <rPr>
        <sz val="8"/>
        <rFont val="Calibri"/>
        <family val="3"/>
        <charset val="161"/>
      </rPr>
      <t>σ</t>
    </r>
    <r>
      <rPr>
        <vertAlign val="subscript"/>
        <sz val="8"/>
        <rFont val="맑은 고딕"/>
        <family val="3"/>
        <charset val="129"/>
        <scheme val="major"/>
      </rPr>
      <t>allow</t>
    </r>
    <phoneticPr fontId="3" type="noConversion"/>
  </si>
  <si>
    <r>
      <t>- 허용 신축량, e</t>
    </r>
    <r>
      <rPr>
        <vertAlign val="subscript"/>
        <sz val="8"/>
        <rFont val="맑은 고딕"/>
        <family val="3"/>
        <charset val="129"/>
        <scheme val="major"/>
      </rPr>
      <t>allow</t>
    </r>
    <phoneticPr fontId="3" type="noConversion"/>
  </si>
  <si>
    <t>축변형률(%)</t>
    <phoneticPr fontId="1" type="noConversion"/>
  </si>
  <si>
    <t>관체 축변형률 합계</t>
    <phoneticPr fontId="1" type="noConversion"/>
  </si>
  <si>
    <t>국부좌굴 개시변형률</t>
    <phoneticPr fontId="1" type="noConversion"/>
  </si>
  <si>
    <r>
      <t xml:space="preserve"> ∙  L</t>
    </r>
    <r>
      <rPr>
        <vertAlign val="subscript"/>
        <sz val="8"/>
        <color theme="1"/>
        <rFont val="Calibri"/>
        <family val="2"/>
      </rPr>
      <t>δ</t>
    </r>
    <phoneticPr fontId="1" type="noConversion"/>
  </si>
  <si>
    <r>
      <rPr>
        <sz val="8"/>
        <rFont val="Calibri"/>
        <family val="3"/>
        <charset val="161"/>
      </rPr>
      <t>e</t>
    </r>
    <r>
      <rPr>
        <vertAlign val="subscript"/>
        <sz val="8"/>
        <rFont val="맑은 고딕"/>
        <family val="3"/>
        <charset val="129"/>
        <scheme val="major"/>
      </rPr>
      <t>t</t>
    </r>
    <phoneticPr fontId="3" type="noConversion"/>
  </si>
  <si>
    <r>
      <rPr>
        <sz val="8"/>
        <rFont val="Calibri"/>
        <family val="3"/>
        <charset val="161"/>
      </rPr>
      <t>e</t>
    </r>
    <r>
      <rPr>
        <vertAlign val="subscript"/>
        <sz val="8"/>
        <rFont val="맑은 고딕"/>
        <family val="3"/>
        <charset val="129"/>
        <scheme val="major"/>
      </rPr>
      <t>o</t>
    </r>
    <phoneticPr fontId="3" type="noConversion"/>
  </si>
  <si>
    <r>
      <t>σ</t>
    </r>
    <r>
      <rPr>
        <vertAlign val="subscript"/>
        <sz val="8"/>
        <rFont val="Calibri"/>
        <family val="2"/>
      </rPr>
      <t>o</t>
    </r>
    <phoneticPr fontId="3" type="noConversion"/>
  </si>
  <si>
    <r>
      <t>K</t>
    </r>
    <r>
      <rPr>
        <vertAlign val="subscript"/>
        <sz val="8"/>
        <color theme="1"/>
        <rFont val="맑은 고딕"/>
        <family val="3"/>
        <charset val="129"/>
        <scheme val="minor"/>
      </rPr>
      <t>v</t>
    </r>
    <phoneticPr fontId="1" type="noConversion"/>
  </si>
  <si>
    <r>
      <rPr>
        <sz val="8"/>
        <rFont val="Calibri"/>
        <family val="3"/>
        <charset val="161"/>
      </rPr>
      <t>e</t>
    </r>
    <r>
      <rPr>
        <vertAlign val="subscript"/>
        <sz val="8"/>
        <rFont val="맑은 고딕"/>
        <family val="3"/>
        <charset val="129"/>
        <scheme val="major"/>
      </rPr>
      <t>i</t>
    </r>
    <phoneticPr fontId="3" type="noConversion"/>
  </si>
  <si>
    <r>
      <rPr>
        <sz val="8"/>
        <rFont val="Calibri"/>
        <family val="3"/>
        <charset val="161"/>
      </rPr>
      <t>σ</t>
    </r>
    <r>
      <rPr>
        <vertAlign val="subscript"/>
        <sz val="8"/>
        <rFont val="맑은 고딕"/>
        <family val="3"/>
        <charset val="129"/>
        <scheme val="major"/>
      </rPr>
      <t>i</t>
    </r>
    <phoneticPr fontId="3" type="noConversion"/>
  </si>
  <si>
    <r>
      <t>L</t>
    </r>
    <r>
      <rPr>
        <vertAlign val="subscript"/>
        <sz val="8"/>
        <rFont val="Calibri"/>
        <family val="2"/>
      </rPr>
      <t>δ</t>
    </r>
    <phoneticPr fontId="1" type="noConversion"/>
  </si>
  <si>
    <r>
      <t>L</t>
    </r>
    <r>
      <rPr>
        <vertAlign val="subscript"/>
        <sz val="8"/>
        <rFont val="Calibri"/>
        <family val="2"/>
      </rPr>
      <t>δ</t>
    </r>
    <r>
      <rPr>
        <vertAlign val="superscript"/>
        <sz val="8"/>
        <rFont val="맑은 고딕"/>
        <family val="3"/>
        <charset val="129"/>
        <scheme val="minor"/>
      </rPr>
      <t>2</t>
    </r>
    <phoneticPr fontId="1" type="noConversion"/>
  </si>
  <si>
    <r>
      <t>｜u</t>
    </r>
    <r>
      <rPr>
        <vertAlign val="subscript"/>
        <sz val="8"/>
        <rFont val="맑은 고딕"/>
        <family val="3"/>
        <charset val="129"/>
        <scheme val="major"/>
      </rPr>
      <t>J</t>
    </r>
    <r>
      <rPr>
        <sz val="8"/>
        <rFont val="맑은 고딕"/>
        <family val="3"/>
        <charset val="161"/>
        <scheme val="major"/>
      </rPr>
      <t>｜(붕괴)</t>
    </r>
    <phoneticPr fontId="1" type="noConversion"/>
  </si>
  <si>
    <r>
      <rPr>
        <sz val="8"/>
        <rFont val="Calibri"/>
        <family val="3"/>
        <charset val="161"/>
      </rPr>
      <t>β</t>
    </r>
    <r>
      <rPr>
        <vertAlign val="subscript"/>
        <sz val="8"/>
        <rFont val="맑은 고딕"/>
        <family val="3"/>
        <charset val="129"/>
        <scheme val="major"/>
      </rPr>
      <t>1</t>
    </r>
    <phoneticPr fontId="1" type="noConversion"/>
  </si>
  <si>
    <r>
      <rPr>
        <sz val="8"/>
        <rFont val="Calibri"/>
        <family val="3"/>
        <charset val="161"/>
      </rPr>
      <t>γ</t>
    </r>
    <r>
      <rPr>
        <vertAlign val="subscript"/>
        <sz val="8"/>
        <rFont val="맑은 고딕"/>
        <family val="3"/>
        <charset val="129"/>
        <scheme val="major"/>
      </rPr>
      <t>1</t>
    </r>
    <phoneticPr fontId="1" type="noConversion"/>
  </si>
  <si>
    <r>
      <rPr>
        <sz val="8"/>
        <rFont val="Calibri"/>
        <family val="3"/>
        <charset val="161"/>
      </rPr>
      <t>α</t>
    </r>
    <r>
      <rPr>
        <vertAlign val="subscript"/>
        <sz val="8"/>
        <rFont val="맑은 고딕"/>
        <family val="3"/>
        <charset val="129"/>
        <scheme val="major"/>
      </rPr>
      <t>1</t>
    </r>
    <phoneticPr fontId="1" type="noConversion"/>
  </si>
  <si>
    <r>
      <t>u</t>
    </r>
    <r>
      <rPr>
        <vertAlign val="subscript"/>
        <sz val="8"/>
        <rFont val="맑은 고딕"/>
        <family val="3"/>
        <charset val="129"/>
        <scheme val="major"/>
      </rPr>
      <t>J</t>
    </r>
    <phoneticPr fontId="1" type="noConversion"/>
  </si>
  <si>
    <r>
      <t>U</t>
    </r>
    <r>
      <rPr>
        <vertAlign val="subscript"/>
        <sz val="8"/>
        <rFont val="맑은 고딕"/>
        <family val="3"/>
        <charset val="129"/>
        <scheme val="major"/>
      </rPr>
      <t>a</t>
    </r>
    <phoneticPr fontId="1" type="noConversion"/>
  </si>
  <si>
    <r>
      <t>u</t>
    </r>
    <r>
      <rPr>
        <vertAlign val="subscript"/>
        <sz val="8"/>
        <rFont val="맑은 고딕"/>
        <family val="3"/>
        <charset val="129"/>
        <scheme val="major"/>
      </rPr>
      <t>o</t>
    </r>
    <phoneticPr fontId="1" type="noConversion"/>
  </si>
  <si>
    <r>
      <t>U</t>
    </r>
    <r>
      <rPr>
        <vertAlign val="subscript"/>
        <sz val="8"/>
        <rFont val="맑은 고딕"/>
        <family val="3"/>
        <charset val="129"/>
        <scheme val="major"/>
      </rPr>
      <t>h</t>
    </r>
    <phoneticPr fontId="1" type="noConversion"/>
  </si>
  <si>
    <r>
      <rPr>
        <sz val="8"/>
        <rFont val="Calibri"/>
        <family val="3"/>
        <charset val="161"/>
      </rPr>
      <t>( γ</t>
    </r>
    <r>
      <rPr>
        <vertAlign val="subscript"/>
        <sz val="8"/>
        <rFont val="맑은 고딕"/>
        <family val="3"/>
        <charset val="129"/>
        <scheme val="major"/>
      </rPr>
      <t>1</t>
    </r>
    <r>
      <rPr>
        <sz val="8"/>
        <rFont val="맑은 고딕"/>
        <family val="3"/>
        <charset val="161"/>
        <scheme val="major"/>
      </rPr>
      <t xml:space="preserve"> / </t>
    </r>
    <r>
      <rPr>
        <sz val="8"/>
        <rFont val="Calibri"/>
        <family val="3"/>
        <charset val="161"/>
      </rPr>
      <t>β</t>
    </r>
    <r>
      <rPr>
        <vertAlign val="subscript"/>
        <sz val="8"/>
        <rFont val="맑은 고딕"/>
        <family val="3"/>
        <charset val="129"/>
        <scheme val="major"/>
      </rPr>
      <t>1</t>
    </r>
    <r>
      <rPr>
        <sz val="8"/>
        <rFont val="맑은 고딕"/>
        <family val="3"/>
        <charset val="161"/>
        <scheme val="major"/>
      </rPr>
      <t xml:space="preserve"> )</t>
    </r>
    <r>
      <rPr>
        <vertAlign val="superscript"/>
        <sz val="8"/>
        <rFont val="맑은 고딕"/>
        <family val="3"/>
        <charset val="129"/>
        <scheme val="major"/>
      </rPr>
      <t>2</t>
    </r>
    <phoneticPr fontId="1" type="noConversion"/>
  </si>
  <si>
    <r>
      <t xml:space="preserve"> ∙  K</t>
    </r>
    <r>
      <rPr>
        <vertAlign val="subscript"/>
        <sz val="8"/>
        <color theme="1"/>
        <rFont val="맑은 고딕"/>
        <family val="3"/>
        <charset val="129"/>
        <scheme val="minor"/>
      </rPr>
      <t>v</t>
    </r>
    <phoneticPr fontId="1" type="noConversion"/>
  </si>
  <si>
    <t>만든사람 : 송광석</t>
    <phoneticPr fontId="1" type="noConversion"/>
  </si>
  <si>
    <t>만든날짜 : 2021-12-14</t>
    <phoneticPr fontId="1" type="noConversion"/>
  </si>
  <si>
    <t>Version : 1.00</t>
    <phoneticPr fontId="1" type="noConversion"/>
  </si>
  <si>
    <t xml:space="preserve"> - 개정 「기존 시설물(상수도) 내진성능 평가요령(2021.09)」 적용</t>
    <phoneticPr fontId="1" type="noConversion"/>
  </si>
  <si>
    <t>설계내압</t>
    <phoneticPr fontId="1" type="noConversion"/>
  </si>
  <si>
    <t>차량하중</t>
    <phoneticPr fontId="1" type="noConversion"/>
  </si>
  <si>
    <t>온도효과</t>
    <phoneticPr fontId="1" type="noConversion"/>
  </si>
  <si>
    <t>부등침하</t>
    <phoneticPr fontId="1" type="noConversion"/>
  </si>
  <si>
    <t>지진</t>
    <phoneticPr fontId="1" type="noConversion"/>
  </si>
  <si>
    <t>합계</t>
    <phoneticPr fontId="1" type="noConversion"/>
  </si>
  <si>
    <t xml:space="preserve"> ∙ 표층지반은 기반면에서 지표면까지를 의미하며, 기반암의 심도가 20m를 초과하여 기반암의 위치를</t>
    <phoneticPr fontId="1" type="noConversion"/>
  </si>
  <si>
    <t xml:space="preserve">   확인 불가능 할 경우에는 지반변위 산정을 위해 기반암 심도를 지표면 하부 20m로 가정함</t>
    <phoneticPr fontId="1" type="noConversion"/>
  </si>
  <si>
    <t>※ 표층지반은 기반면에서 지표면까지를 의미하며, 기반암의 심도가 20m를 초과하여 기반암의 위치를</t>
    <phoneticPr fontId="1" type="noConversion"/>
  </si>
  <si>
    <t xml:space="preserve">   확인 불가능 할 경우에는 표층지반 평균 전단파 속도를 지표면 하부 20m까지의 평균 전단파 속도로 산정함</t>
    <phoneticPr fontId="1" type="noConversion"/>
  </si>
  <si>
    <r>
      <t>V</t>
    </r>
    <r>
      <rPr>
        <b/>
        <vertAlign val="subscript"/>
        <sz val="8"/>
        <color theme="1"/>
        <rFont val="맑은 고딕"/>
        <family val="3"/>
        <charset val="129"/>
        <scheme val="minor"/>
      </rPr>
      <t>s</t>
    </r>
    <r>
      <rPr>
        <b/>
        <sz val="8"/>
        <color theme="1"/>
        <rFont val="맑은 고딕"/>
        <family val="3"/>
        <charset val="129"/>
        <scheme val="minor"/>
      </rPr>
      <t xml:space="preserve"> (m/sec)</t>
    </r>
    <phoneticPr fontId="1" type="noConversion"/>
  </si>
  <si>
    <t>(지표면에서 기반암까지 깊이)</t>
    <phoneticPr fontId="1" type="noConversion"/>
  </si>
  <si>
    <t>/℃</t>
    <phoneticPr fontId="3" type="noConversion"/>
  </si>
  <si>
    <t>Version : 1.01</t>
    <phoneticPr fontId="1" type="noConversion"/>
  </si>
  <si>
    <t xml:space="preserve"> - 내용 일부 수정</t>
    <phoneticPr fontId="1" type="noConversion"/>
  </si>
  <si>
    <t>version</t>
    <phoneticPr fontId="1" type="noConversion"/>
  </si>
  <si>
    <t xml:space="preserve"> - 표층지반 평균 전단파속도 산정 정리</t>
    <phoneticPr fontId="1" type="noConversion"/>
  </si>
  <si>
    <t xml:space="preserve"> ∙  토층별 전단파 속도 데이터가 없을 경우, 표준관입시험 관입저항치(SPT-N치)를 전단파 속도로 변환하며,</t>
    <phoneticPr fontId="1" type="noConversion"/>
  </si>
  <si>
    <r>
      <t xml:space="preserve">    변환에는 국내 지반에 대해 제안된 상관관계식(Sun et al. 2013) Vs=65.64 × N</t>
    </r>
    <r>
      <rPr>
        <vertAlign val="superscript"/>
        <sz val="8"/>
        <color theme="1"/>
        <rFont val="맑은 고딕"/>
        <family val="3"/>
        <charset val="129"/>
        <scheme val="minor"/>
      </rPr>
      <t>0.407</t>
    </r>
    <r>
      <rPr>
        <sz val="8"/>
        <color theme="1"/>
        <rFont val="맑은 고딕"/>
        <family val="3"/>
        <charset val="129"/>
        <scheme val="minor"/>
      </rPr>
      <t>(m/sec)을 활용하여 산정함</t>
    </r>
    <phoneticPr fontId="1" type="noConversion"/>
  </si>
  <si>
    <t xml:space="preserve"> ∙  매설관로에 인접한 위치의 지반조사 자료(시추조사, 표준관입시험, 다운홀 테스트 등)를 활용함</t>
    <phoneticPr fontId="1" type="noConversion"/>
  </si>
  <si>
    <r>
      <t xml:space="preserve"> U</t>
    </r>
    <r>
      <rPr>
        <vertAlign val="subscript"/>
        <sz val="8"/>
        <rFont val="맑은 고딕"/>
        <family val="3"/>
        <charset val="129"/>
        <scheme val="major"/>
      </rPr>
      <t xml:space="preserve">h   </t>
    </r>
    <r>
      <rPr>
        <sz val="8"/>
        <rFont val="맑은 고딕"/>
        <family val="3"/>
        <charset val="129"/>
        <scheme val="major"/>
      </rPr>
      <t xml:space="preserve"> =  2 / </t>
    </r>
    <r>
      <rPr>
        <sz val="8"/>
        <rFont val="Calibri"/>
        <family val="3"/>
        <charset val="161"/>
      </rPr>
      <t>π</t>
    </r>
    <r>
      <rPr>
        <sz val="8"/>
        <rFont val="맑은 고딕"/>
        <family val="3"/>
        <charset val="129"/>
        <scheme val="major"/>
      </rPr>
      <t>²× Sv × T × cos(</t>
    </r>
    <r>
      <rPr>
        <sz val="8"/>
        <rFont val="Calibri"/>
        <family val="3"/>
        <charset val="161"/>
      </rPr>
      <t>π</t>
    </r>
    <r>
      <rPr>
        <sz val="8"/>
        <rFont val="맑은 고딕"/>
        <family val="3"/>
        <charset val="129"/>
        <scheme val="major"/>
      </rPr>
      <t>Z / 2H)</t>
    </r>
    <phoneticPr fontId="7" type="noConversion"/>
  </si>
  <si>
    <r>
      <t xml:space="preserve"> U</t>
    </r>
    <r>
      <rPr>
        <vertAlign val="subscript"/>
        <sz val="8"/>
        <rFont val="맑은 고딕"/>
        <family val="3"/>
        <charset val="129"/>
        <scheme val="major"/>
      </rPr>
      <t xml:space="preserve">h   </t>
    </r>
    <r>
      <rPr>
        <sz val="8"/>
        <rFont val="맑은 고딕"/>
        <family val="3"/>
        <charset val="129"/>
        <scheme val="major"/>
      </rPr>
      <t xml:space="preserve"> = </t>
    </r>
    <phoneticPr fontId="128" type="noConversion"/>
  </si>
  <si>
    <t xml:space="preserve"> - 오타 및 표시 자릿수 수정</t>
    <phoneticPr fontId="1" type="noConversion"/>
  </si>
  <si>
    <t>Version : 1.02</t>
    <phoneticPr fontId="1" type="noConversion"/>
  </si>
  <si>
    <t>현재 Version : 1.02</t>
    <phoneticPr fontId="1" type="noConversion"/>
  </si>
  <si>
    <t>DB-13.5</t>
  </si>
  <si>
    <t>없음</t>
  </si>
  <si>
    <t>허용</t>
    <phoneticPr fontId="1" type="noConversion"/>
  </si>
  <si>
    <t>상시합계</t>
    <phoneticPr fontId="1" type="noConversion"/>
  </si>
  <si>
    <t>허용</t>
    <phoneticPr fontId="1" type="noConversion"/>
  </si>
  <si>
    <t>Version : 1.03</t>
    <phoneticPr fontId="1" type="noConversion"/>
  </si>
  <si>
    <t xml:space="preserve"> - 지반분류 표층지반 평균 전단파 속도 산정시 20m 제한 조건 삭제</t>
    <phoneticPr fontId="1" type="noConversion"/>
  </si>
  <si>
    <t xml:space="preserve"> - 강관과 지반의 마찰력 0.1MPa -&gt;0.01MPa 로 변경(개정 평가요령 반영)</t>
    <phoneticPr fontId="1" type="noConversion"/>
  </si>
  <si>
    <r>
      <t xml:space="preserve"> - 286행 L1 산정시 </t>
    </r>
    <r>
      <rPr>
        <sz val="11"/>
        <rFont val="Calibri"/>
        <family val="3"/>
        <charset val="161"/>
      </rPr>
      <t>ε</t>
    </r>
    <r>
      <rPr>
        <sz val="11"/>
        <rFont val="맑은 고딕"/>
        <family val="3"/>
        <charset val="129"/>
      </rPr>
      <t>y를 항복점 변형율에서 국부좌굴 개시변형율로 변경</t>
    </r>
    <phoneticPr fontId="1" type="noConversion"/>
  </si>
  <si>
    <t>- 지반정보</t>
    <phoneticPr fontId="128" type="noConversion"/>
  </si>
  <si>
    <t>토층</t>
    <phoneticPr fontId="1" type="noConversion"/>
  </si>
  <si>
    <t>토층
높이</t>
    <phoneticPr fontId="1" type="noConversion"/>
  </si>
  <si>
    <t>평균
전단파속도</t>
    <phoneticPr fontId="1" type="noConversion"/>
  </si>
  <si>
    <t>퇴적층</t>
    <phoneticPr fontId="1" type="noConversion"/>
  </si>
  <si>
    <t>매립층</t>
    <phoneticPr fontId="1" type="noConversion"/>
  </si>
  <si>
    <t>풍화토층</t>
    <phoneticPr fontId="1" type="noConversion"/>
  </si>
  <si>
    <t>(수도권 광역상수도 안정화사업 실시설계)</t>
    <phoneticPr fontId="1" type="noConversion"/>
  </si>
  <si>
    <r>
      <t>kN/m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</si>
  <si>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- 차량하중(P</t>
    </r>
    <r>
      <rPr>
        <vertAlign val="subscript"/>
        <sz val="8"/>
        <rFont val="맑은 고딕"/>
        <family val="3"/>
        <charset val="129"/>
        <scheme val="major"/>
      </rPr>
      <t>m</t>
    </r>
    <r>
      <rPr>
        <sz val="8"/>
        <rFont val="맑은 고딕"/>
        <family val="3"/>
        <charset val="129"/>
        <scheme val="major"/>
      </rPr>
      <t>)</t>
    </r>
    <phoneticPr fontId="1" type="noConversion"/>
  </si>
  <si>
    <r>
      <t>- 연약지반구간(L</t>
    </r>
    <r>
      <rPr>
        <vertAlign val="subscript"/>
        <sz val="8"/>
        <rFont val="맑은 고딕"/>
        <family val="3"/>
        <charset val="129"/>
      </rPr>
      <t>δ</t>
    </r>
    <r>
      <rPr>
        <sz val="8"/>
        <rFont val="맑은 고딕"/>
        <family val="3"/>
        <charset val="129"/>
        <scheme val="major"/>
      </rPr>
      <t>)</t>
    </r>
    <phoneticPr fontId="1" type="noConversion"/>
  </si>
  <si>
    <r>
      <t>mm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</si>
  <si>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</si>
  <si>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mm</t>
    </r>
    <r>
      <rPr>
        <vertAlign val="superscript"/>
        <sz val="8"/>
        <rFont val="맑은 고딕"/>
        <family val="3"/>
        <charset val="129"/>
        <scheme val="major"/>
      </rPr>
      <t>4</t>
    </r>
    <phoneticPr fontId="3" type="noConversion"/>
  </si>
  <si>
    <r>
      <t>m</t>
    </r>
    <r>
      <rPr>
        <vertAlign val="superscript"/>
        <sz val="8"/>
        <rFont val="맑은 고딕"/>
        <family val="3"/>
        <charset val="129"/>
        <scheme val="major"/>
      </rPr>
      <t>4</t>
    </r>
    <phoneticPr fontId="3" type="noConversion"/>
  </si>
  <si>
    <r>
      <t xml:space="preserve">    변환에는 국내 지반에 대해 제안된 상관관계식(Sun et al. 2013) Vs=65.64 × N</t>
    </r>
    <r>
      <rPr>
        <vertAlign val="superscript"/>
        <sz val="8"/>
        <rFont val="맑은 고딕"/>
        <family val="3"/>
        <charset val="129"/>
        <scheme val="minor"/>
      </rPr>
      <t>0.407</t>
    </r>
    <r>
      <rPr>
        <sz val="8"/>
        <rFont val="맑은 고딕"/>
        <family val="3"/>
        <charset val="129"/>
        <scheme val="minor"/>
      </rPr>
      <t>(m/sec)을 활용하여 산정함</t>
    </r>
    <phoneticPr fontId="1" type="noConversion"/>
  </si>
  <si>
    <r>
      <t>초기전단파 속도
(V</t>
    </r>
    <r>
      <rPr>
        <b/>
        <vertAlign val="subscript"/>
        <sz val="8"/>
        <rFont val="맑은 고딕"/>
        <family val="3"/>
        <charset val="129"/>
        <scheme val="minor"/>
      </rPr>
      <t>si</t>
    </r>
    <r>
      <rPr>
        <b/>
        <sz val="8"/>
        <rFont val="맑은 고딕"/>
        <family val="3"/>
        <charset val="129"/>
        <scheme val="minor"/>
      </rPr>
      <t>, m/s)</t>
    </r>
    <phoneticPr fontId="1" type="noConversion"/>
  </si>
  <si>
    <r>
      <t>d</t>
    </r>
    <r>
      <rPr>
        <b/>
        <vertAlign val="subscript"/>
        <sz val="8"/>
        <rFont val="맑은 고딕"/>
        <family val="3"/>
        <charset val="129"/>
        <scheme val="minor"/>
      </rPr>
      <t>i</t>
    </r>
    <r>
      <rPr>
        <b/>
        <sz val="8"/>
        <rFont val="맑은 고딕"/>
        <family val="3"/>
        <charset val="129"/>
        <scheme val="minor"/>
      </rPr>
      <t>/V</t>
    </r>
    <r>
      <rPr>
        <b/>
        <vertAlign val="subscript"/>
        <sz val="8"/>
        <rFont val="맑은 고딕"/>
        <family val="3"/>
        <charset val="129"/>
        <scheme val="minor"/>
      </rPr>
      <t>si</t>
    </r>
    <phoneticPr fontId="1" type="noConversion"/>
  </si>
  <si>
    <r>
      <t>초기전단파속도
V</t>
    </r>
    <r>
      <rPr>
        <b/>
        <vertAlign val="subscript"/>
        <sz val="8"/>
        <rFont val="맑은 고딕"/>
        <family val="3"/>
        <charset val="129"/>
        <scheme val="minor"/>
      </rPr>
      <t>si</t>
    </r>
    <r>
      <rPr>
        <b/>
        <sz val="8"/>
        <rFont val="맑은 고딕"/>
        <family val="3"/>
        <charset val="129"/>
        <scheme val="minor"/>
      </rPr>
      <t xml:space="preserve"> (m/s)</t>
    </r>
    <phoneticPr fontId="1" type="noConversion"/>
  </si>
  <si>
    <r>
      <t>d</t>
    </r>
    <r>
      <rPr>
        <b/>
        <vertAlign val="subscript"/>
        <sz val="8"/>
        <rFont val="맑은 고딕"/>
        <family val="3"/>
        <charset val="129"/>
        <scheme val="minor"/>
      </rPr>
      <t>i</t>
    </r>
    <r>
      <rPr>
        <b/>
        <sz val="8"/>
        <rFont val="맑은 고딕"/>
        <family val="3"/>
        <charset val="129"/>
        <scheme val="minor"/>
      </rPr>
      <t xml:space="preserve"> / V</t>
    </r>
    <r>
      <rPr>
        <b/>
        <vertAlign val="subscript"/>
        <sz val="8"/>
        <rFont val="맑은 고딕"/>
        <family val="3"/>
        <charset val="129"/>
        <scheme val="minor"/>
      </rPr>
      <t>si</t>
    </r>
    <phoneticPr fontId="1" type="noConversion"/>
  </si>
  <si>
    <r>
      <t>T</t>
    </r>
    <r>
      <rPr>
        <b/>
        <vertAlign val="subscript"/>
        <sz val="8"/>
        <rFont val="맑은 고딕"/>
        <family val="3"/>
        <charset val="129"/>
        <scheme val="minor"/>
      </rPr>
      <t>G</t>
    </r>
    <r>
      <rPr>
        <b/>
        <sz val="8"/>
        <rFont val="맑은 고딕"/>
        <family val="3"/>
        <charset val="129"/>
        <scheme val="minor"/>
      </rPr>
      <t xml:space="preserve"> (sec)</t>
    </r>
    <phoneticPr fontId="1" type="noConversion"/>
  </si>
  <si>
    <r>
      <t xml:space="preserve"> ∙  비선형성을 고려한 표층지반의 평균 전단파속도(V</t>
    </r>
    <r>
      <rPr>
        <vertAlign val="subscript"/>
        <sz val="8"/>
        <rFont val="맑은 고딕"/>
        <family val="3"/>
        <charset val="129"/>
        <scheme val="minor"/>
      </rPr>
      <t>DS</t>
    </r>
    <r>
      <rPr>
        <sz val="8"/>
        <rFont val="맑은 고딕"/>
        <family val="3"/>
        <charset val="129"/>
        <scheme val="minor"/>
      </rPr>
      <t>)</t>
    </r>
    <phoneticPr fontId="1" type="noConversion"/>
  </si>
  <si>
    <r>
      <t>설계전단파속도
V</t>
    </r>
    <r>
      <rPr>
        <b/>
        <vertAlign val="subscript"/>
        <sz val="8"/>
        <rFont val="맑은 고딕"/>
        <family val="3"/>
        <charset val="129"/>
        <scheme val="minor"/>
      </rPr>
      <t>si</t>
    </r>
    <r>
      <rPr>
        <b/>
        <sz val="8"/>
        <rFont val="맑은 고딕"/>
        <family val="3"/>
        <charset val="129"/>
        <scheme val="minor"/>
      </rPr>
      <t xml:space="preserve"> (m/s)</t>
    </r>
    <phoneticPr fontId="1" type="noConversion"/>
  </si>
  <si>
    <r>
      <t>※ 지반변형에 대한 보정계수(C) : 0.8 (V</t>
    </r>
    <r>
      <rPr>
        <vertAlign val="subscript"/>
        <sz val="8"/>
        <rFont val="맑은 고딕"/>
        <family val="3"/>
        <charset val="129"/>
        <scheme val="minor"/>
      </rPr>
      <t>si</t>
    </r>
    <r>
      <rPr>
        <sz val="8"/>
        <rFont val="맑은 고딕"/>
        <family val="3"/>
        <charset val="129"/>
        <scheme val="minor"/>
      </rPr>
      <t xml:space="preserve"> &lt; 360 m/s), 1.0 (V</t>
    </r>
    <r>
      <rPr>
        <vertAlign val="subscript"/>
        <sz val="8"/>
        <rFont val="맑은 고딕"/>
        <family val="3"/>
        <charset val="129"/>
        <scheme val="minor"/>
      </rPr>
      <t>si</t>
    </r>
    <r>
      <rPr>
        <sz val="8"/>
        <rFont val="맑은 고딕"/>
        <family val="3"/>
        <charset val="129"/>
        <scheme val="minor"/>
      </rPr>
      <t xml:space="preserve"> ≥ 360 m/s)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</si>
  <si>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1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</si>
  <si>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2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</si>
  <si>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3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</si>
  <si>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4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</si>
  <si>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5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</si>
  <si>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6</t>
    </r>
    <phoneticPr fontId="1" type="noConversion"/>
  </si>
  <si>
    <r>
      <t>※ 기반암 깊이와 무관하게 토층평균전단파속도가 120m/s 이하인 지반은 S</t>
    </r>
    <r>
      <rPr>
        <vertAlign val="subscript"/>
        <sz val="8"/>
        <rFont val="맑은 고딕"/>
        <family val="3"/>
        <charset val="129"/>
        <scheme val="minor"/>
      </rPr>
      <t>5</t>
    </r>
    <r>
      <rPr>
        <sz val="8"/>
        <rFont val="맑은 고딕"/>
        <family val="3"/>
        <charset val="129"/>
        <scheme val="minor"/>
      </rPr>
      <t>지반으로 분류함</t>
    </r>
    <phoneticPr fontId="1" type="noConversion"/>
  </si>
  <si>
    <r>
      <t xml:space="preserve"> ∙  F</t>
    </r>
    <r>
      <rPr>
        <vertAlign val="subscript"/>
        <sz val="8"/>
        <rFont val="맑은 고딕"/>
        <family val="3"/>
        <charset val="129"/>
        <scheme val="minor"/>
      </rPr>
      <t>a</t>
    </r>
    <phoneticPr fontId="1" type="noConversion"/>
  </si>
  <si>
    <r>
      <t xml:space="preserve"> ∙  F</t>
    </r>
    <r>
      <rPr>
        <vertAlign val="subscript"/>
        <sz val="8"/>
        <rFont val="맑은 고딕"/>
        <family val="3"/>
        <charset val="129"/>
        <scheme val="minor"/>
      </rPr>
      <t>v</t>
    </r>
    <phoneticPr fontId="1" type="noConversion"/>
  </si>
  <si>
    <r>
      <t>단주기 증폭계수, F</t>
    </r>
    <r>
      <rPr>
        <b/>
        <vertAlign val="subscript"/>
        <sz val="8"/>
        <rFont val="맑은 고딕"/>
        <family val="3"/>
        <charset val="129"/>
        <scheme val="minor"/>
      </rPr>
      <t>a</t>
    </r>
    <phoneticPr fontId="1" type="noConversion"/>
  </si>
  <si>
    <r>
      <t>장주기 증폭계수, F</t>
    </r>
    <r>
      <rPr>
        <b/>
        <vertAlign val="subscript"/>
        <sz val="8"/>
        <rFont val="맑은 고딕"/>
        <family val="3"/>
        <charset val="129"/>
        <scheme val="minor"/>
      </rPr>
      <t>v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</si>
  <si>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2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</si>
  <si>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3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</si>
  <si>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4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</si>
  <si>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5</t>
    </r>
    <phoneticPr fontId="1" type="noConversion"/>
  </si>
  <si>
    <r>
      <t xml:space="preserve"> ∙  K</t>
    </r>
    <r>
      <rPr>
        <vertAlign val="subscript"/>
        <sz val="8"/>
        <rFont val="맑은 고딕"/>
        <family val="3"/>
        <charset val="129"/>
        <scheme val="minor"/>
      </rPr>
      <t>HU</t>
    </r>
    <phoneticPr fontId="1" type="noConversion"/>
  </si>
  <si>
    <r>
      <t>(설계수평지반가속도)  = S × F</t>
    </r>
    <r>
      <rPr>
        <vertAlign val="subscript"/>
        <sz val="8"/>
        <rFont val="맑은 고딕"/>
        <family val="3"/>
        <charset val="129"/>
        <scheme val="minor"/>
      </rPr>
      <t>a</t>
    </r>
    <r>
      <rPr>
        <sz val="8"/>
        <rFont val="맑은 고딕"/>
        <family val="3"/>
        <charset val="129"/>
        <scheme val="minor"/>
      </rPr>
      <t xml:space="preserve"> =</t>
    </r>
    <phoneticPr fontId="1" type="noConversion"/>
  </si>
  <si>
    <r>
      <t>kN/m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</si>
  <si>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 xml:space="preserve"> ∙  </t>
    </r>
    <r>
      <rPr>
        <sz val="8"/>
        <rFont val="Calibri"/>
        <family val="3"/>
        <charset val="161"/>
      </rPr>
      <t>ν</t>
    </r>
    <phoneticPr fontId="1" type="noConversion"/>
  </si>
  <si>
    <r>
      <t>kN/m</t>
    </r>
    <r>
      <rPr>
        <vertAlign val="superscript"/>
        <sz val="8"/>
        <rFont val="맑은 고딕"/>
        <family val="3"/>
        <charset val="129"/>
        <scheme val="minor"/>
      </rPr>
      <t>2</t>
    </r>
    <phoneticPr fontId="1" type="noConversion"/>
  </si>
  <si>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  <scheme val="major"/>
      </rPr>
      <t>i</t>
    </r>
    <phoneticPr fontId="3" type="noConversion"/>
  </si>
  <si>
    <r>
      <t xml:space="preserve"> ∙  P</t>
    </r>
    <r>
      <rPr>
        <vertAlign val="subscript"/>
        <sz val="8"/>
        <rFont val="맑은 고딕"/>
        <family val="3"/>
        <charset val="129"/>
        <scheme val="minor"/>
      </rPr>
      <t>m</t>
    </r>
    <phoneticPr fontId="1" type="noConversion"/>
  </si>
  <si>
    <r>
      <t>m</t>
    </r>
    <r>
      <rPr>
        <vertAlign val="superscript"/>
        <sz val="8"/>
        <rFont val="맑은 고딕"/>
        <family val="3"/>
        <charset val="129"/>
        <scheme val="minor"/>
      </rPr>
      <t>4</t>
    </r>
    <phoneticPr fontId="1" type="noConversion"/>
  </si>
  <si>
    <r>
      <t>m</t>
    </r>
    <r>
      <rPr>
        <vertAlign val="superscript"/>
        <sz val="8"/>
        <rFont val="맑은 고딕"/>
        <family val="3"/>
        <charset val="129"/>
        <scheme val="minor"/>
      </rPr>
      <t>3</t>
    </r>
    <phoneticPr fontId="1" type="noConversion"/>
  </si>
  <si>
    <r>
      <t xml:space="preserve"> ∙  </t>
    </r>
    <r>
      <rPr>
        <sz val="8"/>
        <rFont val="Calibri"/>
        <family val="3"/>
        <charset val="161"/>
      </rPr>
      <t>Θ</t>
    </r>
    <phoneticPr fontId="1" type="noConversion"/>
  </si>
  <si>
    <r>
      <t xml:space="preserve"> - 차량하중(W</t>
    </r>
    <r>
      <rPr>
        <vertAlign val="subscript"/>
        <sz val="8"/>
        <rFont val="맑은 고딕"/>
        <family val="3"/>
        <charset val="129"/>
        <scheme val="major"/>
      </rPr>
      <t>m</t>
    </r>
    <r>
      <rPr>
        <sz val="8"/>
        <rFont val="맑은 고딕"/>
        <family val="3"/>
        <charset val="129"/>
        <scheme val="major"/>
      </rPr>
      <t>)</t>
    </r>
    <phoneticPr fontId="7" type="noConversion"/>
  </si>
  <si>
    <r>
      <t>W</t>
    </r>
    <r>
      <rPr>
        <vertAlign val="subscript"/>
        <sz val="8"/>
        <rFont val="맑은 고딕"/>
        <family val="3"/>
        <charset val="129"/>
        <scheme val="minor"/>
      </rPr>
      <t>m</t>
    </r>
    <phoneticPr fontId="1" type="noConversion"/>
  </si>
  <si>
    <r>
      <t>P</t>
    </r>
    <r>
      <rPr>
        <vertAlign val="subscript"/>
        <sz val="8"/>
        <rFont val="맑은 고딕"/>
        <family val="3"/>
        <charset val="129"/>
        <scheme val="minor"/>
      </rPr>
      <t>m</t>
    </r>
    <phoneticPr fontId="1" type="noConversion"/>
  </si>
  <si>
    <r>
      <t>2·h·tan</t>
    </r>
    <r>
      <rPr>
        <sz val="8"/>
        <rFont val="Calibri"/>
        <family val="3"/>
        <charset val="161"/>
      </rPr>
      <t>Θ</t>
    </r>
    <r>
      <rPr>
        <sz val="8"/>
        <rFont val="맑은 고딕"/>
        <family val="3"/>
        <charset val="129"/>
        <scheme val="minor"/>
      </rPr>
      <t>) )</t>
    </r>
    <phoneticPr fontId="1" type="noConversion"/>
  </si>
  <si>
    <r>
      <t>ε</t>
    </r>
    <r>
      <rPr>
        <vertAlign val="subscript"/>
        <sz val="8"/>
        <rFont val="Calibri"/>
        <family val="2"/>
      </rPr>
      <t>o</t>
    </r>
    <phoneticPr fontId="3" type="noConversion"/>
  </si>
  <si>
    <r>
      <t xml:space="preserve"> ∙  </t>
    </r>
    <r>
      <rPr>
        <sz val="8"/>
        <rFont val="Calibri"/>
        <family val="3"/>
        <charset val="161"/>
      </rPr>
      <t>Δ</t>
    </r>
    <r>
      <rPr>
        <sz val="8"/>
        <rFont val="맑은 고딕"/>
        <family val="3"/>
        <charset val="129"/>
        <scheme val="minor"/>
      </rPr>
      <t>T</t>
    </r>
    <phoneticPr fontId="1" type="noConversion"/>
  </si>
  <si>
    <r>
      <t xml:space="preserve"> ∙  </t>
    </r>
    <r>
      <rPr>
        <sz val="8"/>
        <rFont val="Calibri"/>
        <family val="3"/>
        <charset val="161"/>
      </rPr>
      <t>α</t>
    </r>
    <phoneticPr fontId="1" type="noConversion"/>
  </si>
  <si>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  <scheme val="major"/>
      </rPr>
      <t>t</t>
    </r>
    <phoneticPr fontId="3" type="noConversion"/>
  </si>
  <si>
    <r>
      <t xml:space="preserve"> ∙  L</t>
    </r>
    <r>
      <rPr>
        <vertAlign val="subscript"/>
        <sz val="8"/>
        <rFont val="Calibri"/>
        <family val="2"/>
      </rPr>
      <t>δ</t>
    </r>
    <phoneticPr fontId="1" type="noConversion"/>
  </si>
  <si>
    <r>
      <t xml:space="preserve"> ∙  </t>
    </r>
    <r>
      <rPr>
        <sz val="8"/>
        <rFont val="Calibri"/>
        <family val="3"/>
        <charset val="161"/>
      </rPr>
      <t>γ</t>
    </r>
    <phoneticPr fontId="1" type="noConversion"/>
  </si>
  <si>
    <r>
      <t xml:space="preserve"> ∙  K</t>
    </r>
    <r>
      <rPr>
        <vertAlign val="subscript"/>
        <sz val="8"/>
        <rFont val="맑은 고딕"/>
        <family val="3"/>
        <charset val="129"/>
        <scheme val="minor"/>
      </rPr>
      <t>2</t>
    </r>
    <phoneticPr fontId="1" type="noConversion"/>
  </si>
  <si>
    <r>
      <t>W</t>
    </r>
    <r>
      <rPr>
        <vertAlign val="subscript"/>
        <sz val="8"/>
        <rFont val="맑은 고딕"/>
        <family val="3"/>
        <charset val="129"/>
        <scheme val="minor"/>
      </rPr>
      <t>d</t>
    </r>
    <phoneticPr fontId="1" type="noConversion"/>
  </si>
  <si>
    <r>
      <t>K</t>
    </r>
    <r>
      <rPr>
        <vertAlign val="subscript"/>
        <sz val="8"/>
        <rFont val="맑은 고딕"/>
        <family val="3"/>
        <charset val="129"/>
        <scheme val="minor"/>
      </rPr>
      <t>2</t>
    </r>
    <phoneticPr fontId="1" type="noConversion"/>
  </si>
  <si>
    <r>
      <t>m</t>
    </r>
    <r>
      <rPr>
        <vertAlign val="superscript"/>
        <sz val="8"/>
        <rFont val="맑은 고딕"/>
        <family val="3"/>
        <charset val="129"/>
        <scheme val="minor"/>
      </rPr>
      <t>-1</t>
    </r>
    <phoneticPr fontId="1" type="noConversion"/>
  </si>
  <si>
    <r>
      <t>β</t>
    </r>
    <r>
      <rPr>
        <vertAlign val="subscript"/>
        <sz val="8"/>
        <rFont val="Calibri"/>
        <family val="2"/>
      </rPr>
      <t>L</t>
    </r>
    <phoneticPr fontId="1" type="noConversion"/>
  </si>
  <si>
    <r>
      <t>M</t>
    </r>
    <r>
      <rPr>
        <vertAlign val="subscript"/>
        <sz val="8"/>
        <rFont val="맑은 고딕"/>
        <family val="3"/>
        <charset val="129"/>
        <scheme val="minor"/>
      </rPr>
      <t>1</t>
    </r>
    <phoneticPr fontId="1" type="noConversion"/>
  </si>
  <si>
    <r>
      <t>e</t>
    </r>
    <r>
      <rPr>
        <vertAlign val="superscript"/>
        <sz val="8"/>
        <rFont val="맑은 고딕"/>
        <family val="3"/>
        <charset val="129"/>
        <scheme val="minor"/>
      </rPr>
      <t>-</t>
    </r>
    <r>
      <rPr>
        <vertAlign val="superscript"/>
        <sz val="8"/>
        <rFont val="Calibri"/>
        <family val="3"/>
        <charset val="161"/>
      </rPr>
      <t>β</t>
    </r>
    <r>
      <rPr>
        <vertAlign val="superscript"/>
        <sz val="8"/>
        <rFont val="맑은 고딕"/>
        <family val="3"/>
        <charset val="129"/>
      </rPr>
      <t>L/2</t>
    </r>
    <phoneticPr fontId="1" type="noConversion"/>
  </si>
  <si>
    <r>
      <rPr>
        <sz val="8"/>
        <rFont val="Calibri"/>
        <family val="3"/>
        <charset val="161"/>
      </rPr>
      <t>β</t>
    </r>
    <r>
      <rPr>
        <sz val="8"/>
        <rFont val="맑은 고딕"/>
        <family val="3"/>
        <charset val="129"/>
        <scheme val="minor"/>
      </rPr>
      <t>L</t>
    </r>
    <phoneticPr fontId="1" type="noConversion"/>
  </si>
  <si>
    <r>
      <t>2</t>
    </r>
    <r>
      <rPr>
        <sz val="8"/>
        <rFont val="Calibri"/>
        <family val="3"/>
        <charset val="161"/>
      </rPr>
      <t>β</t>
    </r>
    <r>
      <rPr>
        <vertAlign val="superscript"/>
        <sz val="8"/>
        <rFont val="맑은 고딕"/>
        <family val="3"/>
        <charset val="129"/>
        <scheme val="minor"/>
      </rPr>
      <t>2</t>
    </r>
    <phoneticPr fontId="1" type="noConversion"/>
  </si>
  <si>
    <r>
      <t>M</t>
    </r>
    <r>
      <rPr>
        <vertAlign val="subscript"/>
        <sz val="8"/>
        <rFont val="맑은 고딕"/>
        <family val="3"/>
        <charset val="129"/>
        <scheme val="minor"/>
      </rPr>
      <t>2</t>
    </r>
    <phoneticPr fontId="1" type="noConversion"/>
  </si>
  <si>
    <r>
      <t>0.2079 + e</t>
    </r>
    <r>
      <rPr>
        <vertAlign val="superscript"/>
        <sz val="8"/>
        <rFont val="맑은 고딕"/>
        <family val="3"/>
        <charset val="129"/>
        <scheme val="minor"/>
      </rPr>
      <t>-</t>
    </r>
    <r>
      <rPr>
        <vertAlign val="superscript"/>
        <sz val="8"/>
        <rFont val="맑은 고딕"/>
        <family val="3"/>
        <charset val="129"/>
      </rPr>
      <t>β</t>
    </r>
    <r>
      <rPr>
        <vertAlign val="superscript"/>
        <sz val="8"/>
        <rFont val="맑은 고딕"/>
        <family val="3"/>
        <charset val="129"/>
        <scheme val="minor"/>
      </rPr>
      <t>L</t>
    </r>
    <r>
      <rPr>
        <sz val="8"/>
        <rFont val="맑은 고딕"/>
        <family val="3"/>
        <charset val="129"/>
        <scheme val="minor"/>
      </rPr>
      <t xml:space="preserve"> (SIN</t>
    </r>
    <r>
      <rPr>
        <sz val="8"/>
        <rFont val="맑은 고딕"/>
        <family val="3"/>
        <charset val="129"/>
      </rPr>
      <t>β</t>
    </r>
    <r>
      <rPr>
        <sz val="8"/>
        <rFont val="맑은 고딕"/>
        <family val="3"/>
        <charset val="129"/>
        <scheme val="minor"/>
      </rPr>
      <t>L - COS</t>
    </r>
    <r>
      <rPr>
        <sz val="8"/>
        <rFont val="맑은 고딕"/>
        <family val="3"/>
        <charset val="129"/>
      </rPr>
      <t>β</t>
    </r>
    <r>
      <rPr>
        <sz val="8"/>
        <rFont val="맑은 고딕"/>
        <family val="3"/>
        <charset val="129"/>
        <scheme val="minor"/>
      </rPr>
      <t>L)</t>
    </r>
    <phoneticPr fontId="1" type="noConversion"/>
  </si>
  <si>
    <r>
      <t>β</t>
    </r>
    <r>
      <rPr>
        <vertAlign val="superscript"/>
        <sz val="8"/>
        <rFont val="Calibri"/>
        <family val="2"/>
      </rPr>
      <t>2</t>
    </r>
    <phoneticPr fontId="1" type="noConversion"/>
  </si>
  <si>
    <r>
      <t>ε</t>
    </r>
    <r>
      <rPr>
        <vertAlign val="subscript"/>
        <sz val="8"/>
        <rFont val="Calibri"/>
        <family val="2"/>
      </rPr>
      <t>δ</t>
    </r>
    <phoneticPr fontId="1" type="noConversion"/>
  </si>
  <si>
    <r>
      <t xml:space="preserve"> ∙  T</t>
    </r>
    <r>
      <rPr>
        <vertAlign val="subscript"/>
        <sz val="8"/>
        <rFont val="맑은 고딕"/>
        <family val="3"/>
        <charset val="129"/>
        <scheme val="minor"/>
      </rPr>
      <t>G</t>
    </r>
    <phoneticPr fontId="1" type="noConversion"/>
  </si>
  <si>
    <r>
      <t xml:space="preserve"> ∙  T</t>
    </r>
    <r>
      <rPr>
        <vertAlign val="subscript"/>
        <sz val="8"/>
        <rFont val="맑은 고딕"/>
        <family val="3"/>
        <charset val="129"/>
        <scheme val="minor"/>
      </rPr>
      <t>s</t>
    </r>
    <phoneticPr fontId="1" type="noConversion"/>
  </si>
  <si>
    <r>
      <t>V</t>
    </r>
    <r>
      <rPr>
        <b/>
        <vertAlign val="subscript"/>
        <sz val="8"/>
        <rFont val="맑은 고딕"/>
        <family val="3"/>
        <charset val="129"/>
        <scheme val="minor"/>
      </rPr>
      <t>s</t>
    </r>
    <r>
      <rPr>
        <b/>
        <sz val="8"/>
        <rFont val="맑은 고딕"/>
        <family val="3"/>
        <charset val="129"/>
        <scheme val="minor"/>
      </rPr>
      <t xml:space="preserve"> (m/sec)</t>
    </r>
    <phoneticPr fontId="1" type="noConversion"/>
  </si>
  <si>
    <r>
      <t>T</t>
    </r>
    <r>
      <rPr>
        <b/>
        <vertAlign val="subscript"/>
        <sz val="8"/>
        <rFont val="맑은 고딕"/>
        <family val="3"/>
        <charset val="129"/>
        <scheme val="minor"/>
      </rPr>
      <t>s</t>
    </r>
    <r>
      <rPr>
        <b/>
        <sz val="8"/>
        <rFont val="맑은 고딕"/>
        <family val="3"/>
        <charset val="129"/>
        <scheme val="minor"/>
      </rPr>
      <t xml:space="preserve"> (sec)</t>
    </r>
    <phoneticPr fontId="1" type="noConversion"/>
  </si>
  <si>
    <r>
      <t>T</t>
    </r>
    <r>
      <rPr>
        <b/>
        <vertAlign val="subscript"/>
        <sz val="8"/>
        <rFont val="맑은 고딕"/>
        <family val="3"/>
        <charset val="129"/>
        <scheme val="minor"/>
      </rPr>
      <t>O</t>
    </r>
    <phoneticPr fontId="1" type="noConversion"/>
  </si>
  <si>
    <r>
      <t>T</t>
    </r>
    <r>
      <rPr>
        <b/>
        <vertAlign val="subscript"/>
        <sz val="8"/>
        <rFont val="맑은 고딕"/>
        <family val="3"/>
        <charset val="129"/>
        <scheme val="minor"/>
      </rPr>
      <t>S</t>
    </r>
    <phoneticPr fontId="1" type="noConversion"/>
  </si>
  <si>
    <r>
      <t>T</t>
    </r>
    <r>
      <rPr>
        <b/>
        <vertAlign val="subscript"/>
        <sz val="8"/>
        <rFont val="맑은 고딕"/>
        <family val="3"/>
        <charset val="129"/>
        <scheme val="minor"/>
      </rPr>
      <t>L</t>
    </r>
    <phoneticPr fontId="1" type="noConversion"/>
  </si>
  <si>
    <r>
      <t>③ 감쇠보정계수(C</t>
    </r>
    <r>
      <rPr>
        <vertAlign val="subscript"/>
        <sz val="8"/>
        <rFont val="맑은 고딕"/>
        <family val="3"/>
        <charset val="129"/>
        <scheme val="minor"/>
      </rPr>
      <t>D</t>
    </r>
    <r>
      <rPr>
        <sz val="8"/>
        <rFont val="맑은 고딕"/>
        <family val="3"/>
        <charset val="129"/>
        <scheme val="minor"/>
      </rPr>
      <t>)</t>
    </r>
    <phoneticPr fontId="1" type="noConversion"/>
  </si>
  <si>
    <r>
      <t xml:space="preserve"> ∙ 성능수준별 감쇠비(</t>
    </r>
    <r>
      <rPr>
        <sz val="8"/>
        <rFont val="Calibri"/>
        <family val="3"/>
        <charset val="161"/>
      </rPr>
      <t>ξ</t>
    </r>
    <r>
      <rPr>
        <sz val="8"/>
        <rFont val="맑은 고딕"/>
        <family val="3"/>
        <charset val="129"/>
        <scheme val="major"/>
      </rPr>
      <t>)</t>
    </r>
    <phoneticPr fontId="1" type="noConversion"/>
  </si>
  <si>
    <r>
      <t xml:space="preserve"> ∙ 감쇠보정계수(C</t>
    </r>
    <r>
      <rPr>
        <vertAlign val="subscript"/>
        <sz val="8"/>
        <rFont val="맑은 고딕"/>
        <family val="3"/>
        <charset val="129"/>
        <scheme val="major"/>
      </rPr>
      <t>D</t>
    </r>
    <r>
      <rPr>
        <sz val="8"/>
        <rFont val="맑은 고딕"/>
        <family val="3"/>
        <charset val="129"/>
        <scheme val="major"/>
      </rPr>
      <t>)</t>
    </r>
    <phoneticPr fontId="1" type="noConversion"/>
  </si>
  <si>
    <r>
      <t>0 ≤ T ≤ T</t>
    </r>
    <r>
      <rPr>
        <b/>
        <vertAlign val="subscript"/>
        <sz val="8"/>
        <rFont val="맑은 고딕"/>
        <family val="3"/>
        <charset val="129"/>
        <scheme val="minor"/>
      </rPr>
      <t>O</t>
    </r>
    <phoneticPr fontId="1" type="noConversion"/>
  </si>
  <si>
    <r>
      <t>T</t>
    </r>
    <r>
      <rPr>
        <b/>
        <vertAlign val="subscript"/>
        <sz val="8"/>
        <rFont val="맑은 고딕"/>
        <family val="3"/>
        <charset val="129"/>
        <scheme val="minor"/>
      </rPr>
      <t>O</t>
    </r>
    <r>
      <rPr>
        <b/>
        <sz val="8"/>
        <rFont val="맑은 고딕"/>
        <family val="3"/>
        <charset val="129"/>
        <scheme val="minor"/>
      </rPr>
      <t xml:space="preserve"> ≤ T</t>
    </r>
    <phoneticPr fontId="1" type="noConversion"/>
  </si>
  <si>
    <r>
      <t>C</t>
    </r>
    <r>
      <rPr>
        <vertAlign val="subscript"/>
        <sz val="8"/>
        <rFont val="맑은 고딕"/>
        <family val="3"/>
        <charset val="129"/>
        <scheme val="minor"/>
      </rPr>
      <t>D</t>
    </r>
    <phoneticPr fontId="1" type="noConversion"/>
  </si>
  <si>
    <r>
      <t>T</t>
    </r>
    <r>
      <rPr>
        <vertAlign val="subscript"/>
        <sz val="8"/>
        <rFont val="맑은 고딕"/>
        <family val="3"/>
        <charset val="129"/>
        <scheme val="minor"/>
      </rPr>
      <t>S</t>
    </r>
    <r>
      <rPr>
        <sz val="8"/>
        <rFont val="맑은 고딕"/>
        <family val="3"/>
        <charset val="129"/>
        <scheme val="minor"/>
      </rPr>
      <t>=0일 때,</t>
    </r>
    <phoneticPr fontId="1" type="noConversion"/>
  </si>
  <si>
    <r>
      <t>T</t>
    </r>
    <r>
      <rPr>
        <vertAlign val="subscript"/>
        <sz val="8"/>
        <rFont val="맑은 고딕"/>
        <family val="3"/>
        <charset val="129"/>
        <scheme val="minor"/>
      </rPr>
      <t>S</t>
    </r>
    <r>
      <rPr>
        <sz val="8"/>
        <rFont val="맑은 고딕"/>
        <family val="3"/>
        <charset val="129"/>
        <scheme val="minor"/>
      </rPr>
      <t>=T</t>
    </r>
    <r>
      <rPr>
        <vertAlign val="subscript"/>
        <sz val="8"/>
        <rFont val="맑은 고딕"/>
        <family val="3"/>
        <charset val="129"/>
        <scheme val="minor"/>
      </rPr>
      <t>O</t>
    </r>
    <r>
      <rPr>
        <sz val="8"/>
        <rFont val="맑은 고딕"/>
        <family val="3"/>
        <charset val="129"/>
        <scheme val="minor"/>
      </rPr>
      <t>일 때,</t>
    </r>
    <phoneticPr fontId="1" type="noConversion"/>
  </si>
  <si>
    <r>
      <t>( 1.42+</t>
    </r>
    <r>
      <rPr>
        <sz val="8"/>
        <rFont val="Calibri"/>
        <family val="3"/>
        <charset val="161"/>
      </rPr>
      <t>ξ )</t>
    </r>
    <phoneticPr fontId="1" type="noConversion"/>
  </si>
  <si>
    <r>
      <t>C</t>
    </r>
    <r>
      <rPr>
        <vertAlign val="subscript"/>
        <sz val="8"/>
        <rFont val="맑은 고딕"/>
        <family val="3"/>
        <charset val="129"/>
        <scheme val="minor"/>
      </rPr>
      <t>D</t>
    </r>
    <r>
      <rPr>
        <sz val="8"/>
        <rFont val="맑은 고딕"/>
        <family val="3"/>
        <charset val="129"/>
        <scheme val="minor"/>
      </rPr>
      <t>(기능수행수준)</t>
    </r>
    <phoneticPr fontId="1" type="noConversion"/>
  </si>
  <si>
    <r>
      <t>C</t>
    </r>
    <r>
      <rPr>
        <vertAlign val="subscript"/>
        <sz val="8"/>
        <rFont val="맑은 고딕"/>
        <family val="3"/>
        <charset val="129"/>
        <scheme val="minor"/>
      </rPr>
      <t>D</t>
    </r>
    <r>
      <rPr>
        <sz val="8"/>
        <rFont val="맑은 고딕"/>
        <family val="3"/>
        <charset val="129"/>
        <scheme val="minor"/>
      </rPr>
      <t>(붕괴방지수준)</t>
    </r>
    <phoneticPr fontId="1" type="noConversion"/>
  </si>
  <si>
    <r>
      <t>⑤ 설계속도 응답스펙트럼(S</t>
    </r>
    <r>
      <rPr>
        <vertAlign val="subscript"/>
        <sz val="8"/>
        <rFont val="맑은 고딕"/>
        <family val="3"/>
        <charset val="129"/>
        <scheme val="minor"/>
      </rPr>
      <t>V</t>
    </r>
    <r>
      <rPr>
        <sz val="8"/>
        <rFont val="맑은 고딕"/>
        <family val="3"/>
        <charset val="129"/>
        <scheme val="minor"/>
      </rPr>
      <t>)</t>
    </r>
    <phoneticPr fontId="1" type="noConversion"/>
  </si>
  <si>
    <r>
      <t xml:space="preserve"> ∙  S</t>
    </r>
    <r>
      <rPr>
        <vertAlign val="subscript"/>
        <sz val="8"/>
        <rFont val="맑은 고딕"/>
        <family val="3"/>
        <charset val="129"/>
        <scheme val="minor"/>
      </rPr>
      <t>기능</t>
    </r>
    <phoneticPr fontId="1" type="noConversion"/>
  </si>
  <si>
    <r>
      <t xml:space="preserve"> ∙  S</t>
    </r>
    <r>
      <rPr>
        <vertAlign val="subscript"/>
        <sz val="8"/>
        <rFont val="맑은 고딕"/>
        <family val="3"/>
        <charset val="129"/>
        <scheme val="minor"/>
      </rPr>
      <t>붕괴</t>
    </r>
    <phoneticPr fontId="1" type="noConversion"/>
  </si>
  <si>
    <r>
      <t>S</t>
    </r>
    <r>
      <rPr>
        <b/>
        <vertAlign val="subscript"/>
        <sz val="8"/>
        <rFont val="맑은 고딕"/>
        <family val="3"/>
        <charset val="129"/>
        <scheme val="minor"/>
      </rPr>
      <t>V</t>
    </r>
    <r>
      <rPr>
        <b/>
        <sz val="8"/>
        <rFont val="맑은 고딕"/>
        <family val="3"/>
        <charset val="129"/>
        <scheme val="minor"/>
      </rPr>
      <t xml:space="preserve"> (m/sec)</t>
    </r>
    <phoneticPr fontId="1" type="noConversion"/>
  </si>
  <si>
    <r>
      <t>( ①:T &lt; T</t>
    </r>
    <r>
      <rPr>
        <vertAlign val="subscript"/>
        <sz val="8"/>
        <rFont val="맑은 고딕"/>
        <family val="3"/>
        <charset val="129"/>
        <scheme val="minor"/>
      </rPr>
      <t>O</t>
    </r>
    <r>
      <rPr>
        <sz val="8"/>
        <rFont val="맑은 고딕"/>
        <family val="3"/>
        <charset val="129"/>
        <scheme val="minor"/>
      </rPr>
      <t>, ②: T</t>
    </r>
    <r>
      <rPr>
        <vertAlign val="subscript"/>
        <sz val="8"/>
        <rFont val="맑은 고딕"/>
        <family val="3"/>
        <charset val="129"/>
        <scheme val="minor"/>
      </rPr>
      <t>O</t>
    </r>
    <r>
      <rPr>
        <sz val="8"/>
        <rFont val="맑은 고딕"/>
        <family val="3"/>
        <charset val="129"/>
        <scheme val="minor"/>
      </rPr>
      <t xml:space="preserve"> &lt; T &lt; T</t>
    </r>
    <r>
      <rPr>
        <vertAlign val="subscript"/>
        <sz val="8"/>
        <rFont val="맑은 고딕"/>
        <family val="3"/>
        <charset val="129"/>
        <scheme val="minor"/>
      </rPr>
      <t>s</t>
    </r>
    <r>
      <rPr>
        <sz val="8"/>
        <rFont val="맑은 고딕"/>
        <family val="3"/>
        <charset val="129"/>
        <scheme val="minor"/>
      </rPr>
      <t>, ③ :T</t>
    </r>
    <r>
      <rPr>
        <vertAlign val="subscript"/>
        <sz val="8"/>
        <rFont val="맑은 고딕"/>
        <family val="3"/>
        <charset val="129"/>
        <scheme val="minor"/>
      </rPr>
      <t>s</t>
    </r>
    <r>
      <rPr>
        <sz val="8"/>
        <rFont val="맑은 고딕"/>
        <family val="3"/>
        <charset val="129"/>
        <scheme val="minor"/>
      </rPr>
      <t xml:space="preserve"> &lt; T )</t>
    </r>
    <phoneticPr fontId="1" type="noConversion"/>
  </si>
  <si>
    <r>
      <t>0.00 ≤ T</t>
    </r>
    <r>
      <rPr>
        <vertAlign val="subscript"/>
        <sz val="8"/>
        <rFont val="맑은 고딕"/>
        <family val="3"/>
        <charset val="129"/>
        <scheme val="minor"/>
      </rPr>
      <t>s</t>
    </r>
    <r>
      <rPr>
        <sz val="8"/>
        <rFont val="맑은 고딕"/>
        <family val="3"/>
        <charset val="129"/>
        <scheme val="minor"/>
      </rPr>
      <t xml:space="preserve"> &lt; 0.06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</si>
  <si>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V</t>
    </r>
    <r>
      <rPr>
        <sz val="8"/>
        <rFont val="맑은 고딕"/>
        <family val="3"/>
        <charset val="129"/>
        <scheme val="minor"/>
      </rPr>
      <t xml:space="preserve"> = ( 1 + 30T ) × S × 9.81 × C</t>
    </r>
    <r>
      <rPr>
        <vertAlign val="subscript"/>
        <sz val="8"/>
        <rFont val="맑은 고딕"/>
        <family val="3"/>
        <charset val="129"/>
        <scheme val="minor"/>
      </rPr>
      <t>D</t>
    </r>
    <r>
      <rPr>
        <sz val="8"/>
        <rFont val="맑은 고딕"/>
        <family val="3"/>
        <charset val="129"/>
        <scheme val="minor"/>
      </rPr>
      <t xml:space="preserve"> × T/2</t>
    </r>
    <r>
      <rPr>
        <sz val="8"/>
        <rFont val="Calibri"/>
        <family val="3"/>
        <charset val="161"/>
      </rPr>
      <t>π</t>
    </r>
    <phoneticPr fontId="1" type="noConversion"/>
  </si>
  <si>
    <r>
      <t>0.06 ≤ T</t>
    </r>
    <r>
      <rPr>
        <vertAlign val="subscript"/>
        <sz val="8"/>
        <rFont val="맑은 고딕"/>
        <family val="3"/>
        <charset val="129"/>
        <scheme val="minor"/>
      </rPr>
      <t>s</t>
    </r>
    <r>
      <rPr>
        <sz val="8"/>
        <rFont val="맑은 고딕"/>
        <family val="3"/>
        <charset val="129"/>
        <scheme val="minor"/>
      </rPr>
      <t xml:space="preserve"> &lt; 0.30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</si>
  <si>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V</t>
    </r>
    <r>
      <rPr>
        <sz val="8"/>
        <rFont val="맑은 고딕"/>
        <family val="3"/>
        <charset val="129"/>
        <scheme val="minor"/>
      </rPr>
      <t xml:space="preserve"> = 2.8 × S × 9.81 × C</t>
    </r>
    <r>
      <rPr>
        <vertAlign val="subscript"/>
        <sz val="8"/>
        <rFont val="맑은 고딕"/>
        <family val="3"/>
        <charset val="129"/>
        <scheme val="minor"/>
      </rPr>
      <t>D</t>
    </r>
    <r>
      <rPr>
        <sz val="8"/>
        <rFont val="맑은 고딕"/>
        <family val="3"/>
        <charset val="129"/>
        <scheme val="minor"/>
      </rPr>
      <t xml:space="preserve"> × T/2</t>
    </r>
    <r>
      <rPr>
        <sz val="8"/>
        <rFont val="Calibri"/>
        <family val="3"/>
        <charset val="161"/>
      </rPr>
      <t>π</t>
    </r>
    <phoneticPr fontId="1" type="noConversion"/>
  </si>
  <si>
    <r>
      <t>T</t>
    </r>
    <r>
      <rPr>
        <vertAlign val="subscript"/>
        <sz val="8"/>
        <rFont val="맑은 고딕"/>
        <family val="3"/>
        <charset val="129"/>
        <scheme val="minor"/>
      </rPr>
      <t>O</t>
    </r>
    <phoneticPr fontId="1" type="noConversion"/>
  </si>
  <si>
    <r>
      <t>0.30 ≤ T</t>
    </r>
    <r>
      <rPr>
        <vertAlign val="subscript"/>
        <sz val="8"/>
        <rFont val="맑은 고딕"/>
        <family val="3"/>
        <charset val="129"/>
        <scheme val="minor"/>
      </rPr>
      <t>s</t>
    </r>
    <r>
      <rPr>
        <sz val="8"/>
        <rFont val="맑은 고딕"/>
        <family val="3"/>
        <charset val="129"/>
        <scheme val="minor"/>
      </rPr>
      <t xml:space="preserve"> &lt; 3.00</t>
    </r>
    <phoneticPr fontId="1" type="noConversion"/>
  </si>
  <si>
    <r>
      <t>S</t>
    </r>
    <r>
      <rPr>
        <vertAlign val="subscript"/>
        <sz val="8"/>
        <rFont val="맑은 고딕"/>
        <family val="3"/>
        <charset val="129"/>
        <scheme val="minor"/>
      </rPr>
      <t>V</t>
    </r>
    <r>
      <rPr>
        <sz val="8"/>
        <rFont val="맑은 고딕"/>
        <family val="3"/>
        <charset val="129"/>
        <scheme val="minor"/>
      </rPr>
      <t xml:space="preserve"> = 0.84/T × S × 9.81 × C</t>
    </r>
    <r>
      <rPr>
        <vertAlign val="subscript"/>
        <sz val="8"/>
        <rFont val="맑은 고딕"/>
        <family val="3"/>
        <charset val="129"/>
        <scheme val="minor"/>
      </rPr>
      <t>D</t>
    </r>
    <r>
      <rPr>
        <sz val="8"/>
        <rFont val="맑은 고딕"/>
        <family val="3"/>
        <charset val="129"/>
        <scheme val="minor"/>
      </rPr>
      <t xml:space="preserve"> × T/2</t>
    </r>
    <r>
      <rPr>
        <sz val="8"/>
        <rFont val="Calibri"/>
        <family val="3"/>
        <charset val="161"/>
      </rPr>
      <t>π</t>
    </r>
    <phoneticPr fontId="1" type="noConversion"/>
  </si>
  <si>
    <r>
      <t>T</t>
    </r>
    <r>
      <rPr>
        <vertAlign val="subscript"/>
        <sz val="8"/>
        <rFont val="맑은 고딕"/>
        <family val="3"/>
        <charset val="129"/>
        <scheme val="minor"/>
      </rPr>
      <t>S</t>
    </r>
    <phoneticPr fontId="1" type="noConversion"/>
  </si>
  <si>
    <r>
      <t xml:space="preserve"> U</t>
    </r>
    <r>
      <rPr>
        <vertAlign val="subscript"/>
        <sz val="8"/>
        <rFont val="맑은 고딕"/>
        <family val="3"/>
        <charset val="129"/>
        <scheme val="major"/>
      </rPr>
      <t xml:space="preserve">h   </t>
    </r>
    <r>
      <rPr>
        <sz val="8"/>
        <rFont val="맑은 고딕"/>
        <family val="3"/>
        <charset val="129"/>
        <scheme val="major"/>
      </rPr>
      <t xml:space="preserve"> =  2 / </t>
    </r>
    <r>
      <rPr>
        <sz val="8"/>
        <rFont val="Calibri"/>
        <family val="3"/>
        <charset val="161"/>
      </rPr>
      <t>π</t>
    </r>
    <r>
      <rPr>
        <sz val="8"/>
        <rFont val="맑은 고딕"/>
        <family val="3"/>
        <charset val="129"/>
        <scheme val="major"/>
      </rPr>
      <t>²× Sv × T × cos(</t>
    </r>
    <r>
      <rPr>
        <sz val="8"/>
        <rFont val="Calibri"/>
        <family val="3"/>
        <charset val="161"/>
      </rPr>
      <t>π</t>
    </r>
    <r>
      <rPr>
        <sz val="8"/>
        <rFont val="맑은 고딕"/>
        <family val="3"/>
        <charset val="129"/>
        <scheme val="major"/>
      </rPr>
      <t>Z / 2H)</t>
    </r>
    <phoneticPr fontId="7" type="noConversion"/>
  </si>
  <si>
    <r>
      <t xml:space="preserve"> U</t>
    </r>
    <r>
      <rPr>
        <vertAlign val="subscript"/>
        <sz val="8"/>
        <rFont val="맑은 고딕"/>
        <family val="3"/>
        <charset val="129"/>
        <scheme val="major"/>
      </rPr>
      <t xml:space="preserve">h   </t>
    </r>
    <r>
      <rPr>
        <sz val="8"/>
        <rFont val="맑은 고딕"/>
        <family val="3"/>
        <charset val="129"/>
        <scheme val="major"/>
      </rPr>
      <t xml:space="preserve"> = </t>
    </r>
    <phoneticPr fontId="128" type="noConversion"/>
  </si>
  <si>
    <r>
      <t>L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</si>
  <si>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t>T</t>
    </r>
    <r>
      <rPr>
        <vertAlign val="subscript"/>
        <sz val="8"/>
        <rFont val="맑은 고딕"/>
        <family val="3"/>
        <charset val="129"/>
        <scheme val="major"/>
      </rPr>
      <t>S</t>
    </r>
    <phoneticPr fontId="3" type="noConversion"/>
  </si>
  <si>
    <r>
      <t>V</t>
    </r>
    <r>
      <rPr>
        <vertAlign val="subscript"/>
        <sz val="8"/>
        <rFont val="맑은 고딕"/>
        <family val="3"/>
        <charset val="129"/>
        <scheme val="major"/>
      </rPr>
      <t>DS</t>
    </r>
    <phoneticPr fontId="3" type="noConversion"/>
  </si>
  <si>
    <r>
      <t>L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</si>
  <si>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r>
      <t>V</t>
    </r>
    <r>
      <rPr>
        <vertAlign val="subscript"/>
        <sz val="8"/>
        <rFont val="맑은 고딕"/>
        <family val="3"/>
        <charset val="129"/>
        <scheme val="major"/>
      </rPr>
      <t>BS</t>
    </r>
    <phoneticPr fontId="3" type="noConversion"/>
  </si>
  <si>
    <r>
      <t>K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</si>
  <si>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t>V</t>
    </r>
    <r>
      <rPr>
        <vertAlign val="subscript"/>
        <sz val="8"/>
        <rFont val="맑은 고딕"/>
        <family val="3"/>
        <charset val="129"/>
        <scheme val="major"/>
      </rPr>
      <t>DS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</si>
  <si>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kN/m</t>
    </r>
    <r>
      <rPr>
        <vertAlign val="superscript"/>
        <sz val="8"/>
        <rFont val="맑은 고딕"/>
        <family val="3"/>
        <charset val="129"/>
        <scheme val="major"/>
      </rPr>
      <t>2</t>
    </r>
    <phoneticPr fontId="3" type="noConversion"/>
  </si>
  <si>
    <r>
      <t>K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</si>
  <si>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r>
      <t>ε</t>
    </r>
    <r>
      <rPr>
        <vertAlign val="subscript"/>
        <sz val="8"/>
        <rFont val="Calibri"/>
        <family val="2"/>
      </rPr>
      <t>G</t>
    </r>
    <phoneticPr fontId="3" type="noConversion"/>
  </si>
  <si>
    <r>
      <t>U</t>
    </r>
    <r>
      <rPr>
        <vertAlign val="subscript"/>
        <sz val="8"/>
        <rFont val="맑은 고딕"/>
        <family val="3"/>
        <charset val="129"/>
        <scheme val="major"/>
      </rPr>
      <t>h</t>
    </r>
    <phoneticPr fontId="3" type="noConversion"/>
  </si>
  <si>
    <r>
      <rPr>
        <sz val="8"/>
        <rFont val="Calibri"/>
        <family val="3"/>
        <charset val="161"/>
      </rPr>
      <t>λ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</si>
  <si>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rPr>
        <sz val="8"/>
        <rFont val="Calibri"/>
        <family val="3"/>
        <charset val="161"/>
      </rPr>
      <t>λ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</si>
  <si>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r>
      <t>a</t>
    </r>
    <r>
      <rPr>
        <vertAlign val="subscript"/>
        <sz val="8"/>
        <rFont val="맑은 고딕"/>
        <family val="3"/>
        <charset val="129"/>
        <scheme val="major"/>
      </rPr>
      <t>1</t>
    </r>
    <phoneticPr fontId="3" type="noConversion"/>
  </si>
  <si>
    <r>
      <t>a</t>
    </r>
    <r>
      <rPr>
        <vertAlign val="subscript"/>
        <sz val="8"/>
        <rFont val="맑은 고딕"/>
        <family val="3"/>
        <charset val="129"/>
        <scheme val="major"/>
      </rPr>
      <t>2</t>
    </r>
    <phoneticPr fontId="3" type="noConversion"/>
  </si>
  <si>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  <scheme val="major"/>
      </rPr>
      <t>L</t>
    </r>
    <phoneticPr fontId="3" type="noConversion"/>
  </si>
  <si>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  <scheme val="major"/>
      </rPr>
      <t>G</t>
    </r>
    <phoneticPr fontId="3" type="noConversion"/>
  </si>
  <si>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  <scheme val="major"/>
      </rPr>
      <t>B</t>
    </r>
    <phoneticPr fontId="3" type="noConversion"/>
  </si>
  <si>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  <scheme val="major"/>
      </rPr>
      <t>y</t>
    </r>
    <phoneticPr fontId="3" type="noConversion"/>
  </si>
  <si>
    <r>
      <rPr>
        <sz val="8"/>
        <rFont val="Calibri"/>
        <family val="3"/>
        <charset val="161"/>
      </rPr>
      <t>ε</t>
    </r>
    <r>
      <rPr>
        <vertAlign val="subscript"/>
        <sz val="8"/>
        <rFont val="Calibri"/>
        <family val="2"/>
      </rPr>
      <t>U</t>
    </r>
    <r>
      <rPr>
        <vertAlign val="subscript"/>
        <sz val="8"/>
        <rFont val="맑은 고딕"/>
        <family val="3"/>
        <charset val="129"/>
        <scheme val="major"/>
      </rPr>
      <t>y</t>
    </r>
    <phoneticPr fontId="3" type="noConversion"/>
  </si>
  <si>
    <r>
      <rPr>
        <b/>
        <sz val="8"/>
        <rFont val="Calibri"/>
        <family val="3"/>
        <charset val="161"/>
      </rPr>
      <t>ε</t>
    </r>
    <r>
      <rPr>
        <b/>
        <vertAlign val="subscript"/>
        <sz val="8"/>
        <rFont val="맑은 고딕"/>
        <family val="3"/>
        <charset val="129"/>
        <scheme val="major"/>
      </rPr>
      <t>x</t>
    </r>
    <phoneticPr fontId="3" type="noConversion"/>
  </si>
  <si>
    <r>
      <t>- 기능수행수준 최대지반가속도, K</t>
    </r>
    <r>
      <rPr>
        <vertAlign val="subscript"/>
        <sz val="8"/>
        <rFont val="맑은 고딕"/>
        <family val="3"/>
        <charset val="129"/>
        <scheme val="major"/>
      </rPr>
      <t>h</t>
    </r>
    <phoneticPr fontId="3" type="noConversion"/>
  </si>
  <si>
    <r>
      <t>- 붕괴방지수준 최대지반가속도, K</t>
    </r>
    <r>
      <rPr>
        <vertAlign val="subscript"/>
        <sz val="8"/>
        <rFont val="맑은 고딕"/>
        <family val="3"/>
        <charset val="129"/>
        <scheme val="major"/>
      </rPr>
      <t>h</t>
    </r>
    <phoneticPr fontId="3" type="noConversion"/>
  </si>
  <si>
    <r>
      <t>- 지반의 고유주기, T</t>
    </r>
    <r>
      <rPr>
        <vertAlign val="subscript"/>
        <sz val="8"/>
        <rFont val="맑은 고딕"/>
        <family val="3"/>
        <charset val="129"/>
        <scheme val="major"/>
      </rPr>
      <t>G</t>
    </r>
    <phoneticPr fontId="3" type="noConversion"/>
  </si>
  <si>
    <r>
      <t>- 지반의 설계고유주기, T</t>
    </r>
    <r>
      <rPr>
        <vertAlign val="subscript"/>
        <sz val="8"/>
        <rFont val="맑은 고딕"/>
        <family val="3"/>
        <charset val="129"/>
        <scheme val="major"/>
      </rPr>
      <t>S</t>
    </r>
    <phoneticPr fontId="3" type="noConversion"/>
  </si>
  <si>
    <r>
      <t>- 붕괴방지수준 설계지진력, S</t>
    </r>
    <r>
      <rPr>
        <vertAlign val="subscript"/>
        <sz val="8"/>
        <rFont val="맑은 고딕"/>
        <family val="3"/>
        <charset val="129"/>
        <scheme val="major"/>
      </rPr>
      <t>v</t>
    </r>
    <phoneticPr fontId="3" type="noConversion"/>
  </si>
  <si>
    <r>
      <t xml:space="preserve">- 항복점 변형률, </t>
    </r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  <scheme val="major"/>
      </rPr>
      <t>y</t>
    </r>
    <phoneticPr fontId="3" type="noConversion"/>
  </si>
  <si>
    <r>
      <t xml:space="preserve">- 국부좌굴 개시변형률, </t>
    </r>
    <r>
      <rPr>
        <sz val="8"/>
        <rFont val="Calibri"/>
        <family val="3"/>
        <charset val="161"/>
      </rPr>
      <t>ε</t>
    </r>
    <r>
      <rPr>
        <vertAlign val="subscript"/>
        <sz val="8"/>
        <rFont val="맑은 고딕"/>
        <family val="3"/>
        <charset val="129"/>
      </rPr>
      <t>U</t>
    </r>
    <r>
      <rPr>
        <vertAlign val="subscript"/>
        <sz val="8"/>
        <rFont val="맑은 고딕"/>
        <family val="3"/>
        <charset val="129"/>
        <scheme val="major"/>
      </rPr>
      <t>y</t>
    </r>
    <phoneticPr fontId="3" type="noConversion"/>
  </si>
  <si>
    <r>
      <t xml:space="preserve">- 관체 축변형률 내진성능평가, </t>
    </r>
    <r>
      <rPr>
        <sz val="8"/>
        <rFont val="Calibri"/>
        <family val="3"/>
        <charset val="161"/>
      </rPr>
      <t>ε</t>
    </r>
    <phoneticPr fontId="3" type="noConversion"/>
  </si>
  <si>
    <t>■ 하안 송수관로 01(01) Sta. No. 4+15.0 강관 내진안전성평가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</si>
</sst>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_ "/>
    <numFmt numFmtId="177" formatCode="0.000_ "/>
    <numFmt numFmtId="178" formatCode="0.00_ "/>
    <numFmt numFmtId="179" formatCode="0.00000_ "/>
    <numFmt numFmtId="180" formatCode="#,##0_ "/>
    <numFmt numFmtId="181" formatCode="0_ "/>
    <numFmt numFmtId="182" formatCode="0.00_);[Red]\(0.00\)"/>
    <numFmt numFmtId="183" formatCode="0.000"/>
    <numFmt numFmtId="184" formatCode="0.0"/>
    <numFmt numFmtId="185" formatCode="&quot;$&quot;#,##0_);\(&quot;$&quot;#,##0\)"/>
    <numFmt numFmtId="186" formatCode="&quot;$&quot;#,##0.00_);[Red]\(&quot;$&quot;#,##0.00\)"/>
    <numFmt numFmtId="187" formatCode="_ &quot;₩&quot;* #,##0_ ;_ &quot;₩&quot;* \-#,##0_ ;_ &quot;₩&quot;* &quot;-&quot;_ ;_ @_ "/>
    <numFmt numFmtId="188" formatCode="_ &quot;₩&quot;* #,##0.00_ ;_ &quot;₩&quot;* \-#,##0.00_ ;_ &quot;₩&quot;* &quot;-&quot;??_ ;_ @_ "/>
    <numFmt numFmtId="189" formatCode="_ * #,##0_ ;_ * \-#,##0_ ;_ * &quot;-&quot;_ ;_ @_ "/>
    <numFmt numFmtId="190" formatCode="_ * #,##0.00_ ;_ * \-#,##0.00_ ;_ * &quot;-&quot;??_ ;_ @_ "/>
    <numFmt numFmtId="191" formatCode="#."/>
    <numFmt numFmtId="192" formatCode="#,##0."/>
    <numFmt numFmtId="193" formatCode="\$#.00"/>
    <numFmt numFmtId="194" formatCode="\$#."/>
    <numFmt numFmtId="195" formatCode="_-[$€-2]* #,##0.00_-;\-[$€-2]* #,##0.00_-;_-[$€-2]* &quot;-&quot;??_-"/>
    <numFmt numFmtId="196" formatCode="#.00"/>
    <numFmt numFmtId="197" formatCode="General_)"/>
    <numFmt numFmtId="198" formatCode="&quot;RM&quot;#,##0_);[Red]\(&quot;RM&quot;#,##0\)"/>
    <numFmt numFmtId="199" formatCode="%#.00"/>
    <numFmt numFmtId="200" formatCode="0.0_)"/>
    <numFmt numFmtId="201" formatCode="yy&quot;년&quot;\ mm&quot;월&quot;\ dd&quot;일 현재&quot;"/>
    <numFmt numFmtId="202" formatCode="&quot;₩&quot;#,##0;&quot;₩&quot;&quot;₩&quot;&quot;₩&quot;&quot;₩&quot;\-#,##0"/>
    <numFmt numFmtId="203" formatCode="#,##0;[Red]&quot;-&quot;#,##0"/>
    <numFmt numFmtId="204" formatCode="&quot;₩&quot;#,##0;[Red]&quot;₩&quot;&quot;₩&quot;&quot;₩&quot;&quot;₩&quot;\-#,##0"/>
    <numFmt numFmtId="205" formatCode="_-* #,##0.00_-;&quot;₩&quot;&quot;₩&quot;\-* #,##0.00_-;_-* &quot;-&quot;??_-;_-@_-"/>
    <numFmt numFmtId="206" formatCode="_-&quot;₩&quot;* #,##0.00_-;&quot;₩&quot;&quot;₩&quot;\-&quot;₩&quot;* #,##0.00_-;_-&quot;₩&quot;* &quot;-&quot;??_-;_-@_-"/>
    <numFmt numFmtId="207" formatCode="&quot;₩&quot;#,##0.00;&quot;₩&quot;&quot;₩&quot;&quot;₩&quot;&quot;₩&quot;\-#,##0.00"/>
    <numFmt numFmtId="208" formatCode="0.0_);[Red]\(0.0\)"/>
    <numFmt numFmtId="209" formatCode="0.000_);[Red]\(0.000\)"/>
    <numFmt numFmtId="210" formatCode="&quot;S&quot;0"/>
    <numFmt numFmtId="211" formatCode="0.0000_ "/>
    <numFmt numFmtId="212" formatCode="&quot;GL. -&quot;0.00&quot;m&quot;"/>
    <numFmt numFmtId="213" formatCode="0.0000_);[Red]\(0.0000\)"/>
    <numFmt numFmtId="214" formatCode="0.00000000_ "/>
    <numFmt numFmtId="215" formatCode="&quot;GL.(-) &quot;0.0_ "/>
    <numFmt numFmtId="216" formatCode="0.0000000_ "/>
    <numFmt numFmtId="217" formatCode="0.00000_);[Red]\(0.00000\)"/>
    <numFmt numFmtId="218" formatCode="0.000000_ "/>
    <numFmt numFmtId="219" formatCode="0.000&quot;%&quot;"/>
    <numFmt numFmtId="220" formatCode="0.E+00"/>
    <numFmt numFmtId="221" formatCode="0.00000000_);[Red]\(0.00000000\)"/>
  </numFmts>
  <fonts count="15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Arial"/>
      <family val="2"/>
    </font>
    <font>
      <u/>
      <sz val="10"/>
      <color indexed="36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Geneva"/>
      <family val="2"/>
    </font>
    <font>
      <sz val="12"/>
      <name val="A"/>
      <family val="1"/>
    </font>
    <font>
      <sz val="10"/>
      <name val="Arial"/>
      <family val="2"/>
      <charset val="178"/>
    </font>
    <font>
      <sz val="12"/>
      <name val="굴림체"/>
      <family val="3"/>
      <charset val="129"/>
    </font>
    <font>
      <sz val="11"/>
      <color indexed="8"/>
      <name val="Calibri"/>
      <family val="2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sz val="12"/>
      <name val="System"/>
      <family val="2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sz val="1"/>
      <color indexed="16"/>
      <name val="Courier"/>
      <family val="3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sz val="11"/>
      <color indexed="62"/>
      <name val="Calibri"/>
      <family val="2"/>
    </font>
    <font>
      <sz val="11"/>
      <color indexed="62"/>
      <name val="맑은 고딕"/>
      <family val="3"/>
      <charset val="129"/>
    </font>
    <font>
      <sz val="11"/>
      <color indexed="52"/>
      <name val="Calibri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sz val="10"/>
      <name val="Helv"/>
      <family val="2"/>
    </font>
    <font>
      <sz val="11"/>
      <color indexed="60"/>
      <name val="Calibri"/>
      <family val="2"/>
    </font>
    <font>
      <sz val="11"/>
      <name val="µ¸¿ò"/>
      <family val="3"/>
      <charset val="129"/>
    </font>
    <font>
      <b/>
      <sz val="11"/>
      <color indexed="63"/>
      <name val="Calibri"/>
      <family val="2"/>
    </font>
    <font>
      <b/>
      <sz val="12"/>
      <color indexed="8"/>
      <name val="ConGEsansBol67"/>
      <family val="1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sz val="11"/>
      <color indexed="10"/>
      <name val="Calibri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0"/>
      <name val="MS Sans Serif"/>
      <family val="2"/>
    </font>
    <font>
      <u/>
      <sz val="11"/>
      <color indexed="36"/>
      <name val="돋움"/>
      <family val="3"/>
      <charset val="129"/>
    </font>
    <font>
      <sz val="10"/>
      <name val="Book Antiqua"/>
      <family val="1"/>
    </font>
    <font>
      <sz val="11"/>
      <color indexed="19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9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9"/>
      <name val="돋움체"/>
      <family val="3"/>
      <charset val="129"/>
    </font>
    <font>
      <sz val="9"/>
      <name val="굴림체"/>
      <family val="3"/>
      <charset val="129"/>
    </font>
    <font>
      <u/>
      <sz val="11"/>
      <color indexed="12"/>
      <name val="돋움"/>
      <family val="3"/>
      <charset val="129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vertAlign val="subscript"/>
      <sz val="8"/>
      <name val="맑은 고딕"/>
      <family val="3"/>
      <charset val="129"/>
      <scheme val="minor"/>
    </font>
    <font>
      <vertAlign val="superscript"/>
      <sz val="8"/>
      <name val="맑은 고딕"/>
      <family val="3"/>
      <charset val="129"/>
      <scheme val="minor"/>
    </font>
    <font>
      <vertAlign val="subscript"/>
      <sz val="8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vertAlign val="superscript"/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b/>
      <sz val="8"/>
      <color rgb="FF0000FF"/>
      <name val="맑은 고딕"/>
      <family val="3"/>
      <charset val="129"/>
      <scheme val="minor"/>
    </font>
    <font>
      <sz val="8"/>
      <color theme="1"/>
      <name val="Calibri"/>
      <family val="3"/>
      <charset val="161"/>
    </font>
    <font>
      <sz val="8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b/>
      <vertAlign val="subscript"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vertAlign val="subscript"/>
      <sz val="8"/>
      <color theme="1"/>
      <name val="맑은 고딕"/>
      <family val="3"/>
      <charset val="129"/>
      <scheme val="major"/>
    </font>
    <font>
      <vertAlign val="subscript"/>
      <sz val="8"/>
      <color rgb="FF000000"/>
      <name val="맑은 고딕"/>
      <family val="3"/>
      <charset val="129"/>
      <scheme val="major"/>
    </font>
    <font>
      <sz val="8"/>
      <color rgb="FF000000"/>
      <name val="Calibri"/>
      <family val="3"/>
      <charset val="161"/>
    </font>
    <font>
      <sz val="8"/>
      <name val="Calibri"/>
      <family val="3"/>
      <charset val="161"/>
    </font>
    <font>
      <vertAlign val="subscript"/>
      <sz val="8"/>
      <color theme="1"/>
      <name val="Calibri"/>
      <family val="2"/>
    </font>
    <font>
      <b/>
      <vertAlign val="subscript"/>
      <sz val="8"/>
      <name val="맑은 고딕"/>
      <family val="3"/>
      <charset val="129"/>
      <scheme val="minor"/>
    </font>
    <font>
      <b/>
      <sz val="8"/>
      <name val="Calibri"/>
      <family val="3"/>
      <charset val="161"/>
    </font>
    <font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vertAlign val="subscript"/>
      <sz val="1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vertAlign val="subscript"/>
      <sz val="1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vertAlign val="subscript"/>
      <sz val="10"/>
      <color rgb="FF000000"/>
      <name val="맑은 고딕"/>
      <family val="3"/>
      <charset val="129"/>
      <scheme val="major"/>
    </font>
    <font>
      <vertAlign val="subscript"/>
      <sz val="8"/>
      <name val="맑은 고딕"/>
      <family val="3"/>
      <charset val="129"/>
      <scheme val="major"/>
    </font>
    <font>
      <sz val="8"/>
      <name val="맑은 고딕"/>
      <family val="3"/>
      <charset val="161"/>
    </font>
    <font>
      <sz val="8"/>
      <name val="맑은 고딕"/>
      <family val="3"/>
      <charset val="161"/>
      <scheme val="minor"/>
    </font>
    <font>
      <sz val="8"/>
      <color rgb="FF00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8"/>
      <name val="굴림체"/>
      <family val="3"/>
      <charset val="129"/>
    </font>
    <font>
      <sz val="8"/>
      <color indexed="12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ajor"/>
    </font>
    <font>
      <b/>
      <sz val="8"/>
      <color rgb="FF0000FF"/>
      <name val="맑은 고딕"/>
      <family val="3"/>
      <charset val="129"/>
      <scheme val="major"/>
    </font>
    <font>
      <vertAlign val="superscript"/>
      <sz val="8"/>
      <color rgb="FF000000"/>
      <name val="맑은 고딕"/>
      <family val="3"/>
      <charset val="129"/>
      <scheme val="major"/>
    </font>
    <font>
      <vertAlign val="superscript"/>
      <sz val="8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61"/>
      <scheme val="major"/>
    </font>
    <font>
      <sz val="8"/>
      <color rgb="FF0000FF"/>
      <name val="맑은 고딕"/>
      <family val="3"/>
      <charset val="129"/>
      <scheme val="major"/>
    </font>
    <font>
      <sz val="8"/>
      <name val="Calibri"/>
      <family val="3"/>
    </font>
    <font>
      <vertAlign val="subscript"/>
      <sz val="8"/>
      <name val="Calibri"/>
      <family val="2"/>
    </font>
    <font>
      <vertAlign val="subscript"/>
      <sz val="8"/>
      <name val="맑은 고딕"/>
      <family val="2"/>
      <charset val="129"/>
    </font>
    <font>
      <sz val="8"/>
      <color theme="1"/>
      <name val="맑은 고딕"/>
      <family val="3"/>
      <charset val="161"/>
      <scheme val="minor"/>
    </font>
    <font>
      <b/>
      <sz val="9"/>
      <color rgb="FFFF0000"/>
      <name val="맑은 고딕"/>
      <family val="3"/>
      <charset val="129"/>
      <scheme val="minor"/>
    </font>
    <font>
      <vertAlign val="superscript"/>
      <sz val="8"/>
      <name val="Calibri"/>
      <family val="3"/>
      <charset val="161"/>
    </font>
    <font>
      <vertAlign val="superscript"/>
      <sz val="8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b/>
      <vertAlign val="subscript"/>
      <sz val="8"/>
      <name val="맑은 고딕"/>
      <family val="3"/>
      <charset val="129"/>
      <scheme val="major"/>
    </font>
    <font>
      <b/>
      <sz val="8"/>
      <name val="맑은 고딕"/>
      <family val="3"/>
      <charset val="161"/>
      <scheme val="major"/>
    </font>
    <font>
      <vertAlign val="subscript"/>
      <sz val="8"/>
      <name val="맑은 고딕"/>
      <family val="3"/>
      <charset val="129"/>
    </font>
    <font>
      <sz val="11"/>
      <name val="Calibri"/>
      <family val="3"/>
      <charset val="161"/>
    </font>
    <font>
      <sz val="1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vertAlign val="superscript"/>
      <sz val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AEDD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1108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185" fontId="11" fillId="0" borderId="0" applyFont="0" applyFill="0" applyBorder="0" applyAlignment="0" applyProtection="0"/>
    <xf numFmtId="18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0" fontId="12" fillId="0" borderId="0"/>
    <xf numFmtId="0" fontId="12" fillId="0" borderId="0"/>
    <xf numFmtId="0" fontId="13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3" borderId="0" applyNumberFormat="0" applyBorder="0" applyAlignment="0" applyProtection="0"/>
    <xf numFmtId="0" fontId="15" fillId="7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0" borderId="0" applyNumberFormat="0" applyBorder="0" applyAlignment="0" applyProtection="0"/>
    <xf numFmtId="187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88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19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5" borderId="0" applyNumberFormat="0" applyBorder="0" applyAlignment="0" applyProtection="0"/>
    <xf numFmtId="0" fontId="11" fillId="0" borderId="2" applyNumberFormat="0" applyFont="0" applyFill="0" applyAlignment="0" applyProtection="0"/>
    <xf numFmtId="0" fontId="11" fillId="0" borderId="5" applyNumberFormat="0" applyFont="0" applyFill="0" applyAlignment="0" applyProtection="0"/>
    <xf numFmtId="0" fontId="11" fillId="0" borderId="6" applyNumberFormat="0" applyFont="0" applyFill="0" applyAlignment="0" applyProtection="0"/>
    <xf numFmtId="0" fontId="11" fillId="0" borderId="3" applyNumberFormat="0" applyFont="0" applyFill="0" applyAlignment="0" applyProtection="0"/>
    <xf numFmtId="0" fontId="24" fillId="0" borderId="0"/>
    <xf numFmtId="0" fontId="22" fillId="0" borderId="0"/>
    <xf numFmtId="0" fontId="21" fillId="0" borderId="0"/>
    <xf numFmtId="0" fontId="25" fillId="24" borderId="12" applyNumberFormat="0" applyAlignment="0" applyProtection="0"/>
    <xf numFmtId="0" fontId="26" fillId="0" borderId="0"/>
    <xf numFmtId="0" fontId="27" fillId="25" borderId="13" applyNumberFormat="0" applyAlignment="0" applyProtection="0"/>
    <xf numFmtId="4" fontId="28" fillId="0" borderId="0">
      <protection locked="0"/>
    </xf>
    <xf numFmtId="0" fontId="8" fillId="0" borderId="0" applyFont="0" applyFill="0" applyBorder="0" applyAlignment="0" applyProtection="0"/>
    <xf numFmtId="191" fontId="29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0" fontId="8" fillId="0" borderId="0" applyFont="0" applyFill="0" applyBorder="0" applyAlignment="0" applyProtection="0"/>
    <xf numFmtId="192" fontId="28" fillId="0" borderId="0">
      <protection locked="0"/>
    </xf>
    <xf numFmtId="0" fontId="28" fillId="0" borderId="0">
      <protection locked="0"/>
    </xf>
    <xf numFmtId="193" fontId="28" fillId="0" borderId="0">
      <protection locked="0"/>
    </xf>
    <xf numFmtId="0" fontId="30" fillId="0" borderId="0" applyFon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0" fontId="4" fillId="0" borderId="0" applyFont="0" applyFill="0" applyBorder="0" applyAlignment="0" applyProtection="0"/>
    <xf numFmtId="194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4" fillId="0" borderId="0">
      <protection locked="0"/>
    </xf>
    <xf numFmtId="195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33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33" fillId="0" borderId="0">
      <protection locked="0"/>
    </xf>
    <xf numFmtId="196" fontId="28" fillId="0" borderId="0">
      <protection locked="0"/>
    </xf>
    <xf numFmtId="0" fontId="28" fillId="0" borderId="0">
      <protection locked="0"/>
    </xf>
    <xf numFmtId="0" fontId="34" fillId="6" borderId="0" applyNumberFormat="0" applyBorder="0" applyAlignment="0" applyProtection="0"/>
    <xf numFmtId="38" fontId="35" fillId="26" borderId="0" applyNumberFormat="0" applyBorder="0" applyAlignment="0" applyProtection="0"/>
    <xf numFmtId="38" fontId="35" fillId="27" borderId="0" applyNumberFormat="0" applyBorder="0" applyAlignment="0" applyProtection="0"/>
    <xf numFmtId="0" fontId="36" fillId="0" borderId="0">
      <alignment horizontal="left"/>
    </xf>
    <xf numFmtId="0" fontId="37" fillId="0" borderId="14" applyNumberFormat="0" applyAlignment="0" applyProtection="0">
      <alignment horizontal="left" vertical="center"/>
    </xf>
    <xf numFmtId="0" fontId="37" fillId="0" borderId="4">
      <alignment horizontal="left" vertical="center"/>
    </xf>
    <xf numFmtId="0" fontId="28" fillId="0" borderId="0">
      <protection locked="0"/>
    </xf>
    <xf numFmtId="0" fontId="28" fillId="0" borderId="0">
      <protection locked="0"/>
    </xf>
    <xf numFmtId="0" fontId="38" fillId="0" borderId="15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0">
      <protection locked="0"/>
    </xf>
    <xf numFmtId="0" fontId="39" fillId="0" borderId="0">
      <protection locked="0"/>
    </xf>
    <xf numFmtId="0" fontId="40" fillId="0" borderId="0" applyNumberFormat="0" applyFill="0" applyBorder="0" applyAlignment="0" applyProtection="0"/>
    <xf numFmtId="0" fontId="41" fillId="9" borderId="12" applyNumberFormat="0" applyAlignment="0" applyProtection="0"/>
    <xf numFmtId="10" fontId="35" fillId="26" borderId="1" applyNumberFormat="0" applyBorder="0" applyAlignment="0" applyProtection="0"/>
    <xf numFmtId="10" fontId="35" fillId="28" borderId="1" applyNumberFormat="0" applyBorder="0" applyAlignment="0" applyProtection="0"/>
    <xf numFmtId="0" fontId="42" fillId="15" borderId="12" applyNumberFormat="0" applyAlignment="0" applyProtection="0">
      <alignment vertical="center"/>
    </xf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197" fontId="44" fillId="0" borderId="0">
      <alignment horizontal="left"/>
    </xf>
    <xf numFmtId="14" fontId="11" fillId="0" borderId="0" applyFont="0" applyFill="0" applyBorder="0" applyAlignment="0" applyProtection="0"/>
    <xf numFmtId="0" fontId="45" fillId="0" borderId="17"/>
    <xf numFmtId="0" fontId="46" fillId="0" borderId="6" applyNumberFormat="0">
      <alignment horizontal="right"/>
    </xf>
    <xf numFmtId="0" fontId="47" fillId="15" borderId="0" applyNumberFormat="0" applyBorder="0" applyAlignment="0" applyProtection="0"/>
    <xf numFmtId="0" fontId="8" fillId="0" borderId="0" applyNumberFormat="0" applyFill="0" applyBorder="0" applyAlignment="0" applyProtection="0"/>
    <xf numFmtId="43" fontId="31" fillId="0" borderId="0"/>
    <xf numFmtId="198" fontId="31" fillId="0" borderId="0"/>
    <xf numFmtId="0" fontId="8" fillId="0" borderId="0"/>
    <xf numFmtId="0" fontId="48" fillId="0" borderId="0" applyFont="0"/>
    <xf numFmtId="0" fontId="4" fillId="12" borderId="18" applyNumberFormat="0" applyFont="0" applyAlignment="0" applyProtection="0"/>
    <xf numFmtId="0" fontId="49" fillId="24" borderId="19" applyNumberFormat="0" applyAlignment="0" applyProtection="0"/>
    <xf numFmtId="199" fontId="28" fillId="0" borderId="0">
      <protection locked="0"/>
    </xf>
    <xf numFmtId="10" fontId="8" fillId="0" borderId="0" applyFon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191" fontId="29" fillId="0" borderId="0">
      <protection locked="0"/>
    </xf>
    <xf numFmtId="184" fontId="4" fillId="0" borderId="0">
      <protection locked="0"/>
    </xf>
    <xf numFmtId="0" fontId="50" fillId="0" borderId="0" applyProtection="0"/>
    <xf numFmtId="0" fontId="45" fillId="0" borderId="0"/>
    <xf numFmtId="200" fontId="51" fillId="0" borderId="0">
      <alignment horizontal="center"/>
    </xf>
    <xf numFmtId="201" fontId="31" fillId="0" borderId="0">
      <alignment horizontal="center"/>
    </xf>
    <xf numFmtId="0" fontId="11" fillId="0" borderId="0" applyNumberFormat="0" applyFont="0" applyFill="0" applyBorder="0" applyProtection="0">
      <alignment horizontal="left" vertical="top" wrapText="1"/>
    </xf>
    <xf numFmtId="0" fontId="52" fillId="27" borderId="0">
      <alignment horizontal="centerContinuous"/>
    </xf>
    <xf numFmtId="0" fontId="28" fillId="0" borderId="20">
      <protection locked="0"/>
    </xf>
    <xf numFmtId="0" fontId="28" fillId="0" borderId="21">
      <protection locked="0"/>
    </xf>
    <xf numFmtId="0" fontId="53" fillId="0" borderId="0" applyNumberFormat="0" applyFill="0" applyBorder="0" applyAlignment="0" applyProtection="0"/>
    <xf numFmtId="0" fontId="4" fillId="0" borderId="0" applyNumberFormat="0" applyFont="0" applyFill="0" applyBorder="0" applyProtection="0">
      <alignment horizontal="center"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31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0" fontId="56" fillId="24" borderId="12" applyNumberFormat="0" applyAlignment="0" applyProtection="0">
      <alignment vertical="center"/>
    </xf>
    <xf numFmtId="202" fontId="31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57" fillId="7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28" fillId="0" borderId="0">
      <protection locked="0"/>
    </xf>
    <xf numFmtId="3" fontId="58" fillId="0" borderId="22">
      <alignment horizontal="center"/>
    </xf>
    <xf numFmtId="0" fontId="28" fillId="0" borderId="0"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40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0" fontId="60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16" fillId="12" borderId="18" applyNumberFormat="0" applyFont="0" applyAlignment="0" applyProtection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4" fillId="0" borderId="0"/>
    <xf numFmtId="0" fontId="63" fillId="0" borderId="0" applyNumberFormat="0" applyFont="0" applyFill="0" applyBorder="0" applyProtection="0">
      <alignment horizontal="centerContinuous"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5" fillId="25" borderId="13" applyNumberFormat="0" applyAlignment="0" applyProtection="0">
      <alignment vertical="center"/>
    </xf>
    <xf numFmtId="0" fontId="66" fillId="0" borderId="1" applyFont="0" applyFill="0" applyBorder="0" applyAlignment="0" applyProtection="0">
      <alignment horizontal="centerContinuous" vertical="center"/>
    </xf>
    <xf numFmtId="203" fontId="67" fillId="0" borderId="0">
      <alignment vertical="center"/>
    </xf>
    <xf numFmtId="0" fontId="63" fillId="0" borderId="0" applyFont="0" applyFill="0" applyBorder="0" applyAlignment="0" applyProtection="0">
      <alignment horizontal="centerContinuous" vertical="center"/>
    </xf>
    <xf numFmtId="0" fontId="6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0" fontId="4" fillId="0" borderId="0"/>
    <xf numFmtId="0" fontId="8" fillId="0" borderId="0"/>
    <xf numFmtId="0" fontId="68" fillId="0" borderId="16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8" fillId="0" borderId="16" applyNumberFormat="0" applyFill="0" applyAlignment="0" applyProtection="0">
      <alignment vertical="center"/>
    </xf>
    <xf numFmtId="0" fontId="69" fillId="0" borderId="24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9" fillId="0" borderId="25" applyNumberFormat="0" applyFill="0" applyAlignment="0" applyProtection="0">
      <alignment vertical="center"/>
    </xf>
    <xf numFmtId="0" fontId="63" fillId="0" borderId="0" applyNumberFormat="0" applyFont="0" applyFill="0" applyBorder="0" applyProtection="0">
      <alignment vertical="center"/>
    </xf>
    <xf numFmtId="0" fontId="42" fillId="15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0" fontId="42" fillId="9" borderId="12" applyNumberFormat="0" applyAlignment="0" applyProtection="0">
      <alignment vertical="center"/>
    </xf>
    <xf numFmtId="4" fontId="28" fillId="0" borderId="0">
      <protection locked="0"/>
    </xf>
    <xf numFmtId="0" fontId="31" fillId="0" borderId="0">
      <protection locked="0"/>
    </xf>
    <xf numFmtId="204" fontId="31" fillId="0" borderId="0">
      <protection locked="0"/>
    </xf>
    <xf numFmtId="0" fontId="70" fillId="0" borderId="26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1" fillId="0" borderId="2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28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4" fillId="0" borderId="29" applyNumberFormat="0" applyFill="0" applyAlignment="0" applyProtection="0">
      <alignment vertical="center"/>
    </xf>
    <xf numFmtId="0" fontId="75" fillId="0" borderId="30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6" fillId="0" borderId="15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9" fillId="31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0" fontId="79" fillId="24" borderId="19" applyNumberFormat="0" applyAlignment="0" applyProtection="0">
      <alignment vertical="center"/>
    </xf>
    <xf numFmtId="189" fontId="80" fillId="0" borderId="0" applyFont="0" applyFill="0" applyBorder="0" applyAlignment="0" applyProtection="0"/>
    <xf numFmtId="0" fontId="31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31" fillId="0" borderId="0" applyFont="0" applyFill="0" applyBorder="0" applyAlignment="0" applyProtection="0"/>
    <xf numFmtId="205" fontId="31" fillId="0" borderId="0">
      <protection locked="0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2" fillId="0" borderId="0"/>
    <xf numFmtId="0" fontId="4" fillId="0" borderId="0"/>
    <xf numFmtId="0" fontId="4" fillId="0" borderId="0"/>
    <xf numFmtId="0" fontId="10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4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4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83" fillId="0" borderId="0"/>
    <xf numFmtId="0" fontId="1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28" fillId="0" borderId="21">
      <protection locked="0"/>
    </xf>
    <xf numFmtId="206" fontId="31" fillId="0" borderId="0">
      <protection locked="0"/>
    </xf>
    <xf numFmtId="207" fontId="31" fillId="0" borderId="0">
      <protection locked="0"/>
    </xf>
    <xf numFmtId="0" fontId="31" fillId="0" borderId="0"/>
    <xf numFmtId="0" fontId="4" fillId="0" borderId="0">
      <alignment vertical="center"/>
    </xf>
    <xf numFmtId="0" fontId="4" fillId="0" borderId="0"/>
  </cellStyleXfs>
  <cellXfs count="662">
    <xf numFmtId="0" fontId="0" fillId="0" borderId="0" xfId="0">
      <alignment vertical="center"/>
    </xf>
    <xf numFmtId="0" fontId="86" fillId="0" borderId="0" xfId="0" applyFont="1" applyProtection="1">
      <alignment vertical="center"/>
      <protection locked="0"/>
    </xf>
    <xf numFmtId="0" fontId="87" fillId="0" borderId="0" xfId="0" applyFont="1" applyProtection="1">
      <alignment vertical="center"/>
      <protection locked="0"/>
    </xf>
    <xf numFmtId="0" fontId="95" fillId="0" borderId="59" xfId="0" applyFont="1" applyBorder="1" applyAlignment="1" applyProtection="1">
      <alignment horizontal="center" vertical="center"/>
      <protection locked="0"/>
    </xf>
    <xf numFmtId="0" fontId="95" fillId="0" borderId="60" xfId="0" applyFont="1" applyBorder="1" applyAlignment="1" applyProtection="1">
      <alignment horizontal="center" vertical="center"/>
      <protection locked="0"/>
    </xf>
    <xf numFmtId="0" fontId="86" fillId="0" borderId="0" xfId="0" applyFont="1" applyProtection="1">
      <alignment vertical="center"/>
      <protection hidden="1"/>
    </xf>
    <xf numFmtId="0" fontId="87" fillId="0" borderId="0" xfId="0" applyFont="1" applyProtection="1">
      <alignment vertical="center"/>
      <protection hidden="1"/>
    </xf>
    <xf numFmtId="0" fontId="95" fillId="0" borderId="0" xfId="0" applyFont="1" applyProtection="1">
      <alignment vertical="center"/>
      <protection hidden="1"/>
    </xf>
    <xf numFmtId="0" fontId="86" fillId="0" borderId="0" xfId="0" applyFont="1" applyAlignment="1" applyProtection="1">
      <alignment horizontal="left" vertical="center"/>
      <protection hidden="1"/>
    </xf>
    <xf numFmtId="0" fontId="86" fillId="0" borderId="0" xfId="0" applyFont="1" applyAlignment="1" applyProtection="1">
      <alignment horizontal="center" vertical="center"/>
      <protection hidden="1"/>
    </xf>
    <xf numFmtId="0" fontId="86" fillId="32" borderId="0" xfId="0" applyFont="1" applyFill="1" applyProtection="1">
      <alignment vertical="center"/>
      <protection hidden="1"/>
    </xf>
    <xf numFmtId="0" fontId="100" fillId="0" borderId="0" xfId="1106" applyFont="1" applyAlignment="1" applyProtection="1">
      <alignment horizontal="center" vertical="center"/>
      <protection hidden="1"/>
    </xf>
    <xf numFmtId="0" fontId="99" fillId="0" borderId="0" xfId="0" quotePrefix="1" applyFont="1" applyAlignment="1" applyProtection="1">
      <alignment horizontal="left" vertical="center"/>
      <protection hidden="1"/>
    </xf>
    <xf numFmtId="0" fontId="99" fillId="0" borderId="0" xfId="0" applyFont="1" applyAlignment="1" applyProtection="1">
      <alignment horizontal="left" vertical="center"/>
      <protection hidden="1"/>
    </xf>
    <xf numFmtId="0" fontId="99" fillId="0" borderId="0" xfId="0" applyFont="1" applyAlignment="1" applyProtection="1">
      <alignment horizontal="center" vertical="center"/>
      <protection hidden="1"/>
    </xf>
    <xf numFmtId="0" fontId="99" fillId="0" borderId="0" xfId="1107" applyFont="1" applyAlignment="1" applyProtection="1">
      <alignment horizontal="center" vertical="center"/>
      <protection hidden="1"/>
    </xf>
    <xf numFmtId="0" fontId="100" fillId="0" borderId="0" xfId="0" applyFont="1" applyProtection="1">
      <alignment vertical="center"/>
      <protection hidden="1"/>
    </xf>
    <xf numFmtId="0" fontId="100" fillId="0" borderId="0" xfId="0" applyFont="1" applyAlignment="1" applyProtection="1">
      <protection hidden="1"/>
    </xf>
    <xf numFmtId="0" fontId="100" fillId="0" borderId="0" xfId="1106" applyFont="1" applyAlignment="1" applyProtection="1">
      <alignment horizontal="centerContinuous" vertical="center"/>
      <protection hidden="1"/>
    </xf>
    <xf numFmtId="0" fontId="100" fillId="0" borderId="0" xfId="1106" applyFont="1" applyProtection="1">
      <alignment vertical="center"/>
      <protection hidden="1"/>
    </xf>
    <xf numFmtId="0" fontId="129" fillId="0" borderId="0" xfId="1106" applyFont="1" applyProtection="1">
      <alignment vertical="center"/>
      <protection hidden="1"/>
    </xf>
    <xf numFmtId="0" fontId="99" fillId="0" borderId="0" xfId="1106" applyFont="1" applyProtection="1">
      <alignment vertical="center"/>
      <protection hidden="1"/>
    </xf>
    <xf numFmtId="177" fontId="129" fillId="0" borderId="0" xfId="1106" applyNumberFormat="1" applyFont="1" applyProtection="1">
      <alignment vertical="center"/>
      <protection hidden="1"/>
    </xf>
    <xf numFmtId="0" fontId="99" fillId="0" borderId="0" xfId="1107" applyFont="1" applyAlignment="1" applyProtection="1">
      <alignment vertical="center"/>
      <protection hidden="1"/>
    </xf>
    <xf numFmtId="183" fontId="131" fillId="0" borderId="0" xfId="1106" applyNumberFormat="1" applyFont="1" applyProtection="1">
      <alignment vertical="center"/>
      <protection hidden="1"/>
    </xf>
    <xf numFmtId="0" fontId="100" fillId="0" borderId="0" xfId="0" applyFont="1" applyAlignment="1" applyProtection="1">
      <alignment horizontal="center" vertical="center"/>
      <protection hidden="1"/>
    </xf>
    <xf numFmtId="0" fontId="123" fillId="0" borderId="0" xfId="0" applyFont="1" applyProtection="1">
      <alignment vertical="center"/>
      <protection hidden="1"/>
    </xf>
    <xf numFmtId="0" fontId="131" fillId="0" borderId="0" xfId="0" applyFont="1" applyAlignment="1" applyProtection="1">
      <alignment horizontal="center" vertical="center"/>
      <protection hidden="1"/>
    </xf>
    <xf numFmtId="0" fontId="86" fillId="0" borderId="0" xfId="0" quotePrefix="1" applyFont="1" applyProtection="1">
      <alignment vertical="center"/>
      <protection hidden="1"/>
    </xf>
    <xf numFmtId="0" fontId="87" fillId="32" borderId="0" xfId="0" applyFont="1" applyFill="1" applyProtection="1">
      <alignment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94" fillId="0" borderId="58" xfId="0" applyFont="1" applyBorder="1" applyAlignment="1" applyProtection="1">
      <alignment horizontal="center" vertical="center"/>
      <protection hidden="1"/>
    </xf>
    <xf numFmtId="0" fontId="86" fillId="0" borderId="61" xfId="0" quotePrefix="1" applyFont="1" applyBorder="1" applyAlignment="1" applyProtection="1">
      <alignment horizontal="center" vertical="center"/>
      <protection hidden="1"/>
    </xf>
    <xf numFmtId="0" fontId="86" fillId="0" borderId="22" xfId="0" quotePrefix="1" applyFont="1" applyBorder="1" applyAlignment="1" applyProtection="1">
      <alignment horizontal="center" vertical="center"/>
      <protection hidden="1"/>
    </xf>
    <xf numFmtId="0" fontId="87" fillId="0" borderId="0" xfId="0" quotePrefix="1" applyFont="1" applyProtection="1">
      <alignment vertical="center"/>
      <protection hidden="1"/>
    </xf>
    <xf numFmtId="0" fontId="94" fillId="0" borderId="0" xfId="0" applyFont="1" applyProtection="1">
      <alignment vertical="center"/>
      <protection hidden="1"/>
    </xf>
    <xf numFmtId="183" fontId="97" fillId="0" borderId="0" xfId="0" applyNumberFormat="1" applyFont="1" applyProtection="1">
      <alignment vertical="center"/>
      <protection hidden="1"/>
    </xf>
    <xf numFmtId="0" fontId="97" fillId="0" borderId="0" xfId="0" applyFont="1" applyProtection="1">
      <alignment vertical="center"/>
      <protection hidden="1"/>
    </xf>
    <xf numFmtId="179" fontId="87" fillId="0" borderId="33" xfId="0" applyNumberFormat="1" applyFont="1" applyBorder="1" applyProtection="1">
      <alignment vertical="center"/>
      <protection hidden="1"/>
    </xf>
    <xf numFmtId="179" fontId="87" fillId="0" borderId="38" xfId="0" applyNumberFormat="1" applyFont="1" applyBorder="1" applyProtection="1">
      <alignment vertical="center"/>
      <protection hidden="1"/>
    </xf>
    <xf numFmtId="176" fontId="96" fillId="0" borderId="0" xfId="0" applyNumberFormat="1" applyFont="1" applyProtection="1">
      <alignment vertical="center"/>
      <protection hidden="1"/>
    </xf>
    <xf numFmtId="0" fontId="85" fillId="0" borderId="0" xfId="0" applyFont="1" applyProtection="1">
      <alignment vertical="center"/>
      <protection hidden="1"/>
    </xf>
    <xf numFmtId="210" fontId="97" fillId="0" borderId="0" xfId="0" applyNumberFormat="1" applyFont="1" applyAlignment="1" applyProtection="1">
      <alignment horizontal="center" vertical="center"/>
      <protection hidden="1"/>
    </xf>
    <xf numFmtId="0" fontId="91" fillId="0" borderId="0" xfId="0" applyFont="1" applyAlignment="1" applyProtection="1">
      <alignment horizontal="centerContinuous" vertical="center"/>
      <protection hidden="1"/>
    </xf>
    <xf numFmtId="0" fontId="87" fillId="0" borderId="0" xfId="0" quotePrefix="1" applyFont="1" applyAlignment="1" applyProtection="1">
      <alignment horizontal="center" vertical="center"/>
      <protection hidden="1"/>
    </xf>
    <xf numFmtId="0" fontId="86" fillId="0" borderId="10" xfId="0" applyFont="1" applyBorder="1" applyAlignment="1" applyProtection="1">
      <alignment horizontal="center" vertical="center"/>
      <protection hidden="1"/>
    </xf>
    <xf numFmtId="0" fontId="87" fillId="0" borderId="10" xfId="0" applyFont="1" applyBorder="1" applyAlignment="1" applyProtection="1">
      <alignment horizontal="center" vertical="center"/>
      <protection hidden="1"/>
    </xf>
    <xf numFmtId="178" fontId="87" fillId="0" borderId="0" xfId="0" applyNumberFormat="1" applyFont="1" applyAlignment="1" applyProtection="1">
      <alignment horizontal="center" vertical="center"/>
      <protection hidden="1"/>
    </xf>
    <xf numFmtId="177" fontId="87" fillId="0" borderId="0" xfId="0" applyNumberFormat="1" applyFont="1" applyAlignment="1" applyProtection="1">
      <alignment horizontal="center" vertical="center"/>
      <protection hidden="1"/>
    </xf>
    <xf numFmtId="0" fontId="106" fillId="0" borderId="0" xfId="0" applyFont="1" applyAlignment="1" applyProtection="1">
      <alignment horizontal="center" vertical="center"/>
      <protection hidden="1"/>
    </xf>
    <xf numFmtId="0" fontId="100" fillId="0" borderId="0" xfId="0" quotePrefix="1" applyFont="1" applyAlignment="1" applyProtection="1">
      <alignment horizontal="center" vertical="center"/>
      <protection hidden="1"/>
    </xf>
    <xf numFmtId="182" fontId="131" fillId="0" borderId="0" xfId="0" applyNumberFormat="1" applyFont="1" applyProtection="1">
      <alignment vertical="center"/>
      <protection hidden="1"/>
    </xf>
    <xf numFmtId="0" fontId="131" fillId="0" borderId="0" xfId="0" applyFont="1" applyProtection="1">
      <alignment vertical="center"/>
      <protection hidden="1"/>
    </xf>
    <xf numFmtId="0" fontId="86" fillId="0" borderId="0" xfId="0" applyFont="1" applyAlignment="1" applyProtection="1">
      <alignment horizontal="right" vertical="center"/>
      <protection hidden="1"/>
    </xf>
    <xf numFmtId="177" fontId="87" fillId="0" borderId="0" xfId="0" applyNumberFormat="1" applyFont="1" applyProtection="1">
      <alignment vertical="center"/>
      <protection hidden="1"/>
    </xf>
    <xf numFmtId="179" fontId="87" fillId="0" borderId="0" xfId="0" applyNumberFormat="1" applyFont="1" applyProtection="1">
      <alignment vertical="center"/>
      <protection hidden="1"/>
    </xf>
    <xf numFmtId="179" fontId="87" fillId="0" borderId="0" xfId="0" applyNumberFormat="1" applyFont="1" applyAlignment="1" applyProtection="1">
      <alignment horizontal="center" vertical="center"/>
      <protection hidden="1"/>
    </xf>
    <xf numFmtId="0" fontId="91" fillId="0" borderId="10" xfId="0" applyFont="1" applyBorder="1" applyAlignment="1" applyProtection="1">
      <alignment horizontal="center" vertical="center"/>
      <protection hidden="1"/>
    </xf>
    <xf numFmtId="179" fontId="87" fillId="0" borderId="10" xfId="0" applyNumberFormat="1" applyFont="1" applyBorder="1" applyAlignment="1" applyProtection="1">
      <alignment horizontal="center" vertical="center"/>
      <protection hidden="1"/>
    </xf>
    <xf numFmtId="0" fontId="91" fillId="0" borderId="10" xfId="0" applyFont="1" applyBorder="1" applyAlignment="1" applyProtection="1">
      <alignment horizontal="centerContinuous" vertical="center"/>
      <protection hidden="1"/>
    </xf>
    <xf numFmtId="0" fontId="87" fillId="0" borderId="10" xfId="0" quotePrefix="1" applyFont="1" applyBorder="1" applyAlignment="1" applyProtection="1">
      <alignment horizontal="center" vertical="center"/>
      <protection hidden="1"/>
    </xf>
    <xf numFmtId="0" fontId="135" fillId="0" borderId="0" xfId="0" applyFont="1" applyAlignment="1" applyProtection="1">
      <alignment horizontal="center" vertical="center"/>
      <protection hidden="1"/>
    </xf>
    <xf numFmtId="176" fontId="86" fillId="0" borderId="0" xfId="0" quotePrefix="1" applyNumberFormat="1" applyFont="1" applyAlignment="1" applyProtection="1">
      <alignment horizontal="center" vertical="center"/>
      <protection hidden="1"/>
    </xf>
    <xf numFmtId="176" fontId="86" fillId="0" borderId="0" xfId="0" applyNumberFormat="1" applyFont="1" applyProtection="1">
      <alignment vertical="center"/>
      <protection hidden="1"/>
    </xf>
    <xf numFmtId="0" fontId="102" fillId="0" borderId="0" xfId="0" quotePrefix="1" applyFont="1" applyProtection="1">
      <alignment vertical="center"/>
      <protection hidden="1"/>
    </xf>
    <xf numFmtId="0" fontId="87" fillId="0" borderId="73" xfId="0" applyFont="1" applyBorder="1" applyProtection="1">
      <alignment vertical="center"/>
      <protection hidden="1"/>
    </xf>
    <xf numFmtId="0" fontId="87" fillId="0" borderId="72" xfId="0" applyFont="1" applyBorder="1" applyProtection="1">
      <alignment vertical="center"/>
      <protection hidden="1"/>
    </xf>
    <xf numFmtId="0" fontId="87" fillId="0" borderId="6" xfId="0" applyFont="1" applyBorder="1" applyProtection="1">
      <alignment vertical="center"/>
      <protection hidden="1"/>
    </xf>
    <xf numFmtId="0" fontId="87" fillId="0" borderId="74" xfId="0" applyFont="1" applyBorder="1" applyProtection="1">
      <alignment vertical="center"/>
      <protection hidden="1"/>
    </xf>
    <xf numFmtId="0" fontId="87" fillId="0" borderId="10" xfId="0" applyFont="1" applyBorder="1" applyProtection="1">
      <alignment vertical="center"/>
      <protection hidden="1"/>
    </xf>
    <xf numFmtId="0" fontId="87" fillId="0" borderId="75" xfId="0" applyFont="1" applyBorder="1" applyProtection="1">
      <alignment vertical="center"/>
      <protection hidden="1"/>
    </xf>
    <xf numFmtId="0" fontId="87" fillId="0" borderId="76" xfId="0" applyFont="1" applyBorder="1" applyProtection="1">
      <alignment vertical="center"/>
      <protection hidden="1"/>
    </xf>
    <xf numFmtId="0" fontId="96" fillId="0" borderId="0" xfId="0" applyFont="1" applyProtection="1">
      <alignment vertical="center"/>
      <protection hidden="1"/>
    </xf>
    <xf numFmtId="0" fontId="96" fillId="0" borderId="0" xfId="0" applyFont="1" applyAlignment="1" applyProtection="1">
      <alignment horizontal="center" vertical="center"/>
      <protection hidden="1"/>
    </xf>
    <xf numFmtId="209" fontId="96" fillId="0" borderId="0" xfId="0" applyNumberFormat="1" applyFont="1" applyAlignment="1" applyProtection="1">
      <alignment horizontal="center" vertical="center"/>
      <protection hidden="1"/>
    </xf>
    <xf numFmtId="209" fontId="87" fillId="0" borderId="0" xfId="0" applyNumberFormat="1" applyFont="1" applyAlignment="1" applyProtection="1">
      <alignment horizontal="center" vertical="center"/>
      <protection hidden="1"/>
    </xf>
    <xf numFmtId="0" fontId="99" fillId="0" borderId="0" xfId="1106" applyFont="1" applyAlignment="1" applyProtection="1">
      <alignment horizontal="center" vertical="center"/>
      <protection hidden="1"/>
    </xf>
    <xf numFmtId="0" fontId="99" fillId="0" borderId="0" xfId="1106" applyFont="1" applyAlignment="1" applyProtection="1">
      <alignment horizontal="left" vertical="center"/>
      <protection hidden="1"/>
    </xf>
    <xf numFmtId="0" fontId="129" fillId="0" borderId="0" xfId="1106" applyFont="1" applyAlignment="1" applyProtection="1">
      <alignment horizontal="center" vertical="center"/>
      <protection hidden="1"/>
    </xf>
    <xf numFmtId="177" fontId="129" fillId="0" borderId="0" xfId="1106" applyNumberFormat="1" applyFont="1" applyAlignment="1" applyProtection="1">
      <alignment horizontal="center" vertical="center"/>
      <protection hidden="1"/>
    </xf>
    <xf numFmtId="0" fontId="100" fillId="0" borderId="0" xfId="0" applyFont="1" applyAlignment="1" applyProtection="1">
      <alignment horizontal="left" vertical="center"/>
      <protection hidden="1"/>
    </xf>
    <xf numFmtId="0" fontId="100" fillId="0" borderId="0" xfId="1107" applyFont="1" applyAlignment="1" applyProtection="1">
      <alignment horizontal="centerContinuous" vertical="center"/>
      <protection hidden="1"/>
    </xf>
    <xf numFmtId="0" fontId="99" fillId="0" borderId="0" xfId="1107" applyFont="1" applyAlignment="1" applyProtection="1">
      <alignment horizontal="centerContinuous" vertical="center"/>
      <protection hidden="1"/>
    </xf>
    <xf numFmtId="180" fontId="100" fillId="0" borderId="0" xfId="0" applyNumberFormat="1" applyFont="1" applyAlignment="1" applyProtection="1">
      <alignment vertical="center" shrinkToFit="1"/>
      <protection hidden="1"/>
    </xf>
    <xf numFmtId="181" fontId="100" fillId="0" borderId="0" xfId="0" applyNumberFormat="1" applyFont="1" applyProtection="1">
      <alignment vertical="center"/>
      <protection hidden="1"/>
    </xf>
    <xf numFmtId="176" fontId="100" fillId="0" borderId="0" xfId="0" applyNumberFormat="1" applyFont="1" applyProtection="1">
      <alignment vertical="center"/>
      <protection hidden="1"/>
    </xf>
    <xf numFmtId="0" fontId="136" fillId="0" borderId="0" xfId="0" applyFont="1" applyProtection="1">
      <alignment vertical="center"/>
      <protection hidden="1"/>
    </xf>
    <xf numFmtId="0" fontId="135" fillId="0" borderId="0" xfId="0" applyFont="1" applyProtection="1">
      <alignment vertical="center"/>
      <protection hidden="1"/>
    </xf>
    <xf numFmtId="177" fontId="100" fillId="0" borderId="0" xfId="0" applyNumberFormat="1" applyFont="1" applyAlignment="1" applyProtection="1">
      <protection hidden="1"/>
    </xf>
    <xf numFmtId="177" fontId="100" fillId="0" borderId="0" xfId="0" applyNumberFormat="1" applyFont="1" applyProtection="1">
      <alignment vertical="center"/>
      <protection hidden="1"/>
    </xf>
    <xf numFmtId="0" fontId="100" fillId="0" borderId="0" xfId="0" quotePrefix="1" applyFont="1" applyProtection="1">
      <alignment vertical="center"/>
      <protection hidden="1"/>
    </xf>
    <xf numFmtId="0" fontId="146" fillId="0" borderId="0" xfId="0" applyFont="1" applyAlignment="1" applyProtection="1">
      <alignment horizontal="center" vertical="center"/>
      <protection hidden="1"/>
    </xf>
    <xf numFmtId="0" fontId="134" fillId="0" borderId="0" xfId="0" applyFont="1" applyProtection="1">
      <alignment vertical="center"/>
      <protection hidden="1"/>
    </xf>
    <xf numFmtId="0" fontId="134" fillId="0" borderId="0" xfId="0" applyFont="1" applyAlignment="1" applyProtection="1">
      <alignment horizontal="center" vertical="center"/>
      <protection hidden="1"/>
    </xf>
    <xf numFmtId="214" fontId="134" fillId="0" borderId="0" xfId="0" applyNumberFormat="1" applyFont="1" applyProtection="1">
      <alignment vertical="center"/>
      <protection hidden="1"/>
    </xf>
    <xf numFmtId="209" fontId="131" fillId="0" borderId="0" xfId="0" applyNumberFormat="1" applyFont="1" applyProtection="1">
      <alignment vertical="center"/>
      <protection hidden="1"/>
    </xf>
    <xf numFmtId="211" fontId="100" fillId="0" borderId="0" xfId="0" applyNumberFormat="1" applyFont="1" applyProtection="1">
      <alignment vertical="center"/>
      <protection hidden="1"/>
    </xf>
    <xf numFmtId="216" fontId="100" fillId="0" borderId="0" xfId="0" applyNumberFormat="1" applyFont="1" applyAlignment="1" applyProtection="1">
      <alignment horizontal="center" vertical="center"/>
      <protection hidden="1"/>
    </xf>
    <xf numFmtId="0" fontId="93" fillId="0" borderId="61" xfId="0" applyFont="1" applyBorder="1" applyAlignment="1" applyProtection="1">
      <alignment horizontal="center" vertical="center"/>
      <protection locked="0"/>
    </xf>
    <xf numFmtId="0" fontId="93" fillId="0" borderId="22" xfId="0" applyFont="1" applyBorder="1" applyAlignment="1" applyProtection="1">
      <alignment horizontal="center" vertical="center"/>
      <protection locked="0"/>
    </xf>
    <xf numFmtId="0" fontId="141" fillId="0" borderId="0" xfId="0" applyFont="1" applyProtection="1">
      <alignment vertical="center"/>
      <protection locked="0"/>
    </xf>
    <xf numFmtId="0" fontId="111" fillId="0" borderId="0" xfId="885" applyFont="1" applyProtection="1">
      <protection hidden="1"/>
    </xf>
    <xf numFmtId="0" fontId="110" fillId="0" borderId="0" xfId="1105" applyFont="1" applyAlignment="1" applyProtection="1">
      <alignment horizontal="left" vertical="center"/>
      <protection hidden="1"/>
    </xf>
    <xf numFmtId="0" fontId="110" fillId="0" borderId="32" xfId="1105" applyFont="1" applyBorder="1" applyAlignment="1" applyProtection="1">
      <alignment horizontal="center" vertical="center"/>
      <protection hidden="1"/>
    </xf>
    <xf numFmtId="0" fontId="112" fillId="35" borderId="40" xfId="885" applyFont="1" applyFill="1" applyBorder="1" applyAlignment="1" applyProtection="1">
      <alignment horizontal="center" vertical="center" wrapText="1"/>
      <protection hidden="1"/>
    </xf>
    <xf numFmtId="211" fontId="110" fillId="0" borderId="32" xfId="1105" applyNumberFormat="1" applyFont="1" applyBorder="1" applyAlignment="1" applyProtection="1">
      <alignment horizontal="center" vertical="center"/>
      <protection hidden="1"/>
    </xf>
    <xf numFmtId="211" fontId="111" fillId="0" borderId="0" xfId="885" applyNumberFormat="1" applyFont="1" applyProtection="1">
      <protection hidden="1"/>
    </xf>
    <xf numFmtId="0" fontId="112" fillId="35" borderId="45" xfId="885" applyFont="1" applyFill="1" applyBorder="1" applyAlignment="1" applyProtection="1">
      <alignment horizontal="center" vertical="center" wrapText="1"/>
      <protection hidden="1"/>
    </xf>
    <xf numFmtId="0" fontId="114" fillId="35" borderId="46" xfId="885" applyFont="1" applyFill="1" applyBorder="1" applyAlignment="1" applyProtection="1">
      <alignment horizontal="center" vertical="center" wrapText="1"/>
      <protection hidden="1"/>
    </xf>
    <xf numFmtId="0" fontId="114" fillId="35" borderId="47" xfId="885" applyFont="1" applyFill="1" applyBorder="1" applyAlignment="1" applyProtection="1">
      <alignment horizontal="center" vertical="center" wrapText="1"/>
      <protection hidden="1"/>
    </xf>
    <xf numFmtId="0" fontId="112" fillId="0" borderId="48" xfId="885" applyFont="1" applyBorder="1" applyAlignment="1" applyProtection="1">
      <alignment horizontal="center" vertical="center" wrapText="1"/>
      <protection hidden="1"/>
    </xf>
    <xf numFmtId="0" fontId="114" fillId="0" borderId="49" xfId="885" applyFont="1" applyBorder="1" applyAlignment="1" applyProtection="1">
      <alignment horizontal="center" vertical="center" wrapText="1"/>
      <protection hidden="1"/>
    </xf>
    <xf numFmtId="0" fontId="114" fillId="0" borderId="50" xfId="885" applyFont="1" applyBorder="1" applyAlignment="1" applyProtection="1">
      <alignment horizontal="center" vertical="center" wrapText="1"/>
      <protection hidden="1"/>
    </xf>
    <xf numFmtId="0" fontId="114" fillId="0" borderId="51" xfId="885" applyFont="1" applyBorder="1" applyAlignment="1" applyProtection="1">
      <alignment horizontal="center" vertical="center" wrapText="1"/>
      <protection hidden="1"/>
    </xf>
    <xf numFmtId="183" fontId="115" fillId="0" borderId="52" xfId="885" applyNumberFormat="1" applyFont="1" applyBorder="1" applyAlignment="1" applyProtection="1">
      <alignment horizontal="center" vertical="center" wrapText="1"/>
      <protection hidden="1"/>
    </xf>
    <xf numFmtId="0" fontId="111" fillId="0" borderId="0" xfId="885" applyFont="1" applyAlignment="1" applyProtection="1">
      <alignment horizontal="center"/>
      <protection hidden="1"/>
    </xf>
    <xf numFmtId="0" fontId="114" fillId="0" borderId="53" xfId="885" applyFont="1" applyBorder="1" applyAlignment="1" applyProtection="1">
      <alignment horizontal="center" vertical="center" wrapText="1"/>
      <protection hidden="1"/>
    </xf>
    <xf numFmtId="183" fontId="114" fillId="0" borderId="54" xfId="885" applyNumberFormat="1" applyFont="1" applyBorder="1" applyAlignment="1" applyProtection="1">
      <alignment horizontal="center" vertical="center" wrapText="1"/>
      <protection hidden="1"/>
    </xf>
    <xf numFmtId="0" fontId="117" fillId="0" borderId="0" xfId="885" applyFont="1" applyProtection="1">
      <protection hidden="1"/>
    </xf>
    <xf numFmtId="0" fontId="118" fillId="0" borderId="0" xfId="885" applyFont="1" applyAlignment="1" applyProtection="1">
      <alignment vertical="center"/>
      <protection hidden="1"/>
    </xf>
    <xf numFmtId="0" fontId="114" fillId="0" borderId="55" xfId="885" applyFont="1" applyBorder="1" applyAlignment="1" applyProtection="1">
      <alignment horizontal="center" vertical="center" wrapText="1"/>
      <protection hidden="1"/>
    </xf>
    <xf numFmtId="183" fontId="114" fillId="0" borderId="56" xfId="885" applyNumberFormat="1" applyFont="1" applyBorder="1" applyAlignment="1" applyProtection="1">
      <alignment horizontal="center" vertical="center" wrapText="1"/>
      <protection hidden="1"/>
    </xf>
    <xf numFmtId="0" fontId="111" fillId="0" borderId="32" xfId="885" applyFont="1" applyBorder="1" applyAlignment="1" applyProtection="1">
      <alignment horizontal="center"/>
      <protection hidden="1"/>
    </xf>
    <xf numFmtId="0" fontId="111" fillId="0" borderId="32" xfId="885" applyFont="1" applyBorder="1" applyProtection="1">
      <protection hidden="1"/>
    </xf>
    <xf numFmtId="178" fontId="111" fillId="0" borderId="0" xfId="885" applyNumberFormat="1" applyFont="1" applyProtection="1">
      <protection hidden="1"/>
    </xf>
    <xf numFmtId="178" fontId="117" fillId="0" borderId="0" xfId="885" applyNumberFormat="1" applyFont="1" applyProtection="1">
      <protection hidden="1"/>
    </xf>
    <xf numFmtId="0" fontId="86" fillId="0" borderId="70" xfId="0" quotePrefix="1" applyFont="1" applyBorder="1" applyAlignment="1" applyProtection="1">
      <alignment horizontal="center" vertical="center"/>
      <protection hidden="1"/>
    </xf>
    <xf numFmtId="0" fontId="140" fillId="0" borderId="0" xfId="0" applyFont="1" applyAlignment="1" applyProtection="1">
      <alignment horizontal="center" vertical="center"/>
      <protection hidden="1"/>
    </xf>
    <xf numFmtId="0" fontId="122" fillId="0" borderId="0" xfId="0" applyFont="1" applyAlignment="1" applyProtection="1">
      <alignment horizontal="center" vertical="center"/>
      <protection hidden="1"/>
    </xf>
    <xf numFmtId="0" fontId="100" fillId="0" borderId="0" xfId="0" applyFont="1" applyAlignment="1" applyProtection="1">
      <alignment horizontal="right" vertical="center"/>
      <protection hidden="1"/>
    </xf>
    <xf numFmtId="0" fontId="0" fillId="0" borderId="0" xfId="0" applyProtection="1">
      <alignment vertical="center"/>
      <protection hidden="1"/>
    </xf>
    <xf numFmtId="0" fontId="144" fillId="0" borderId="0" xfId="0" applyFont="1" applyProtection="1">
      <alignment vertical="center"/>
      <protection hidden="1"/>
    </xf>
    <xf numFmtId="177" fontId="100" fillId="0" borderId="0" xfId="0" applyNumberFormat="1" applyFont="1" applyAlignment="1" applyProtection="1">
      <alignment horizontal="center" vertical="center"/>
      <protection hidden="1"/>
    </xf>
    <xf numFmtId="0" fontId="121" fillId="0" borderId="0" xfId="0" applyFont="1" applyProtection="1">
      <alignment vertical="center"/>
      <protection hidden="1"/>
    </xf>
    <xf numFmtId="0" fontId="93" fillId="0" borderId="70" xfId="0" applyFont="1" applyBorder="1" applyAlignment="1" applyProtection="1">
      <alignment horizontal="center" vertical="center"/>
      <protection locked="0"/>
    </xf>
    <xf numFmtId="0" fontId="100" fillId="0" borderId="32" xfId="0" applyFont="1" applyBorder="1" applyAlignment="1" applyProtection="1">
      <alignment horizontal="center" vertical="center"/>
      <protection hidden="1"/>
    </xf>
    <xf numFmtId="213" fontId="100" fillId="0" borderId="32" xfId="0" applyNumberFormat="1" applyFont="1" applyBorder="1" applyAlignment="1" applyProtection="1">
      <alignment horizontal="center" vertical="center"/>
      <protection hidden="1"/>
    </xf>
    <xf numFmtId="217" fontId="100" fillId="0" borderId="32" xfId="0" applyNumberFormat="1" applyFont="1" applyBorder="1" applyAlignment="1" applyProtection="1">
      <alignment horizontal="center" vertical="center"/>
      <protection hidden="1"/>
    </xf>
    <xf numFmtId="209" fontId="100" fillId="0" borderId="32" xfId="0" applyNumberFormat="1" applyFont="1" applyBorder="1" applyAlignment="1" applyProtection="1">
      <alignment horizontal="center" vertical="center"/>
      <protection hidden="1"/>
    </xf>
    <xf numFmtId="182" fontId="87" fillId="0" borderId="31" xfId="0" applyNumberFormat="1" applyFont="1" applyBorder="1" applyAlignment="1" applyProtection="1">
      <alignment horizontal="center" vertical="center"/>
      <protection hidden="1"/>
    </xf>
    <xf numFmtId="182" fontId="87" fillId="0" borderId="36" xfId="0" applyNumberFormat="1" applyFont="1" applyBorder="1" applyAlignment="1" applyProtection="1">
      <alignment horizontal="center" vertical="center"/>
      <protection hidden="1"/>
    </xf>
    <xf numFmtId="182" fontId="87" fillId="0" borderId="32" xfId="0" applyNumberFormat="1" applyFont="1" applyBorder="1" applyAlignment="1" applyProtection="1">
      <alignment horizontal="center" vertical="center"/>
      <protection hidden="1"/>
    </xf>
    <xf numFmtId="182" fontId="87" fillId="0" borderId="97" xfId="0" applyNumberFormat="1" applyFont="1" applyBorder="1" applyAlignment="1" applyProtection="1">
      <alignment horizontal="center" vertical="center"/>
      <protection hidden="1"/>
    </xf>
    <xf numFmtId="177" fontId="135" fillId="0" borderId="0" xfId="0" applyNumberFormat="1" applyFont="1" applyAlignment="1" applyProtection="1">
      <alignment horizontal="center" vertical="center"/>
      <protection hidden="1"/>
    </xf>
    <xf numFmtId="0" fontId="100" fillId="0" borderId="0" xfId="1106" applyFont="1" applyAlignment="1" applyProtection="1">
      <alignment horizontal="left" vertical="center"/>
      <protection hidden="1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>
      <alignment vertical="center"/>
    </xf>
    <xf numFmtId="210" fontId="0" fillId="0" borderId="32" xfId="0" applyNumberFormat="1" applyBorder="1" applyAlignment="1">
      <alignment horizontal="center" vertical="center"/>
    </xf>
    <xf numFmtId="211" fontId="0" fillId="0" borderId="32" xfId="0" applyNumberFormat="1" applyBorder="1">
      <alignment vertical="center"/>
    </xf>
    <xf numFmtId="2" fontId="0" fillId="0" borderId="32" xfId="0" applyNumberFormat="1" applyBorder="1">
      <alignment vertical="center"/>
    </xf>
    <xf numFmtId="183" fontId="0" fillId="0" borderId="32" xfId="0" applyNumberFormat="1" applyBorder="1">
      <alignment vertical="center"/>
    </xf>
    <xf numFmtId="2" fontId="0" fillId="0" borderId="32" xfId="0" applyNumberFormat="1" applyBorder="1" applyAlignment="1">
      <alignment horizontal="center" vertical="center"/>
    </xf>
    <xf numFmtId="0" fontId="86" fillId="0" borderId="0" xfId="0" applyFont="1" applyAlignment="1" applyProtection="1">
      <alignment horizontal="center" vertical="center"/>
      <protection hidden="1"/>
    </xf>
    <xf numFmtId="176" fontId="86" fillId="0" borderId="0" xfId="0" applyNumberFormat="1" applyFont="1" applyAlignment="1" applyProtection="1">
      <alignment horizontal="center" vertical="center"/>
      <protection hidden="1"/>
    </xf>
    <xf numFmtId="0" fontId="135" fillId="0" borderId="0" xfId="0" applyFont="1" applyAlignment="1" applyProtection="1">
      <alignment horizontal="center" vertical="center"/>
      <protection hidden="1"/>
    </xf>
    <xf numFmtId="0" fontId="100" fillId="0" borderId="0" xfId="0" applyFont="1" applyAlignment="1" applyProtection="1">
      <alignment horizontal="center" vertical="center"/>
      <protection hidden="1"/>
    </xf>
    <xf numFmtId="0" fontId="106" fillId="0" borderId="0" xfId="0" applyFont="1" applyAlignment="1" applyProtection="1">
      <alignment horizontal="center" vertical="center"/>
      <protection hidden="1"/>
    </xf>
    <xf numFmtId="177" fontId="86" fillId="0" borderId="0" xfId="0" applyNumberFormat="1" applyFont="1" applyAlignment="1" applyProtection="1">
      <alignment horizontal="center" vertical="center"/>
      <protection hidden="1"/>
    </xf>
    <xf numFmtId="0" fontId="86" fillId="0" borderId="10" xfId="0" applyFont="1" applyBorder="1" applyAlignment="1" applyProtection="1">
      <alignment horizontal="center" vertical="center"/>
      <protection hidden="1"/>
    </xf>
    <xf numFmtId="179" fontId="86" fillId="0" borderId="0" xfId="0" applyNumberFormat="1" applyFont="1" applyAlignment="1" applyProtection="1">
      <alignment horizontal="center" vertical="center"/>
      <protection hidden="1"/>
    </xf>
    <xf numFmtId="178" fontId="86" fillId="0" borderId="0" xfId="0" applyNumberFormat="1" applyFont="1" applyAlignment="1" applyProtection="1">
      <alignment horizontal="center" vertical="center"/>
      <protection hidden="1"/>
    </xf>
    <xf numFmtId="0" fontId="100" fillId="0" borderId="0" xfId="1106" applyFont="1" applyAlignment="1" applyProtection="1">
      <alignment horizontal="center" vertical="center"/>
      <protection hidden="1"/>
    </xf>
    <xf numFmtId="220" fontId="100" fillId="0" borderId="0" xfId="0" applyNumberFormat="1" applyFont="1" applyAlignment="1" applyProtection="1">
      <alignment horizontal="center" vertical="center"/>
      <protection hidden="1"/>
    </xf>
    <xf numFmtId="216" fontId="100" fillId="0" borderId="0" xfId="0" applyNumberFormat="1" applyFont="1" applyAlignment="1" applyProtection="1">
      <alignment horizontal="center" vertical="center"/>
      <protection hidden="1"/>
    </xf>
    <xf numFmtId="0" fontId="100" fillId="0" borderId="0" xfId="0" applyFont="1" applyAlignment="1" applyProtection="1">
      <alignment horizontal="left" vertical="center"/>
      <protection hidden="1"/>
    </xf>
    <xf numFmtId="0" fontId="150" fillId="0" borderId="0" xfId="0" applyFont="1" applyProtection="1">
      <alignment vertical="center"/>
      <protection locked="0"/>
    </xf>
    <xf numFmtId="0" fontId="100" fillId="0" borderId="0" xfId="0" quotePrefix="1" applyFont="1" applyAlignment="1" applyProtection="1">
      <alignment horizontal="left" vertical="center"/>
      <protection hidden="1"/>
    </xf>
    <xf numFmtId="0" fontId="100" fillId="0" borderId="0" xfId="1107" applyFont="1" applyAlignment="1" applyProtection="1">
      <alignment horizontal="center" vertical="center"/>
      <protection hidden="1"/>
    </xf>
    <xf numFmtId="177" fontId="100" fillId="0" borderId="0" xfId="1106" applyNumberFormat="1" applyFont="1" applyProtection="1">
      <alignment vertical="center"/>
      <protection hidden="1"/>
    </xf>
    <xf numFmtId="0" fontId="100" fillId="0" borderId="0" xfId="1107" applyFont="1" applyAlignment="1" applyProtection="1">
      <alignment vertical="center"/>
      <protection hidden="1"/>
    </xf>
    <xf numFmtId="183" fontId="134" fillId="0" borderId="0" xfId="1106" applyNumberFormat="1" applyFont="1" applyProtection="1">
      <alignment vertical="center"/>
      <protection hidden="1"/>
    </xf>
    <xf numFmtId="0" fontId="85" fillId="0" borderId="58" xfId="0" applyFont="1" applyBorder="1" applyAlignment="1" applyProtection="1">
      <alignment horizontal="center" vertical="center"/>
      <protection hidden="1"/>
    </xf>
    <xf numFmtId="0" fontId="86" fillId="0" borderId="61" xfId="0" applyFont="1" applyBorder="1" applyAlignment="1" applyProtection="1">
      <alignment horizontal="center" vertical="center"/>
      <protection locked="0"/>
    </xf>
    <xf numFmtId="178" fontId="86" fillId="0" borderId="0" xfId="0" applyNumberFormat="1" applyFont="1" applyProtection="1">
      <alignment vertical="center"/>
      <protection hidden="1"/>
    </xf>
    <xf numFmtId="0" fontId="85" fillId="0" borderId="59" xfId="0" applyFont="1" applyBorder="1" applyAlignment="1" applyProtection="1">
      <alignment horizontal="center" vertical="center"/>
      <protection locked="0"/>
    </xf>
    <xf numFmtId="0" fontId="86" fillId="0" borderId="22" xfId="0" applyFont="1" applyBorder="1" applyAlignment="1" applyProtection="1">
      <alignment horizontal="center" vertical="center"/>
      <protection locked="0"/>
    </xf>
    <xf numFmtId="0" fontId="85" fillId="0" borderId="60" xfId="0" applyFont="1" applyBorder="1" applyAlignment="1" applyProtection="1">
      <alignment horizontal="center" vertical="center"/>
      <protection locked="0"/>
    </xf>
    <xf numFmtId="183" fontId="85" fillId="0" borderId="0" xfId="0" applyNumberFormat="1" applyFont="1" applyProtection="1">
      <alignment vertical="center"/>
      <protection hidden="1"/>
    </xf>
    <xf numFmtId="0" fontId="86" fillId="0" borderId="32" xfId="0" applyFont="1" applyBorder="1" applyAlignment="1" applyProtection="1">
      <alignment horizontal="center" vertical="center"/>
      <protection locked="0"/>
    </xf>
    <xf numFmtId="178" fontId="86" fillId="0" borderId="32" xfId="0" applyNumberFormat="1" applyFont="1" applyBorder="1" applyProtection="1">
      <alignment vertical="center"/>
      <protection locked="0"/>
    </xf>
    <xf numFmtId="210" fontId="85" fillId="0" borderId="0" xfId="0" applyNumberFormat="1" applyFont="1" applyAlignment="1" applyProtection="1">
      <alignment horizontal="center" vertical="center"/>
      <protection hidden="1"/>
    </xf>
    <xf numFmtId="0" fontId="86" fillId="0" borderId="0" xfId="0" applyFont="1" applyAlignment="1" applyProtection="1">
      <alignment horizontal="centerContinuous" vertical="center"/>
      <protection hidden="1"/>
    </xf>
    <xf numFmtId="0" fontId="86" fillId="0" borderId="0" xfId="0" quotePrefix="1" applyFont="1" applyAlignment="1" applyProtection="1">
      <alignment horizontal="center" vertical="center"/>
      <protection hidden="1"/>
    </xf>
    <xf numFmtId="177" fontId="85" fillId="0" borderId="0" xfId="0" applyNumberFormat="1" applyFont="1" applyProtection="1">
      <alignment vertical="center"/>
      <protection hidden="1"/>
    </xf>
    <xf numFmtId="0" fontId="86" fillId="0" borderId="32" xfId="0" applyFont="1" applyBorder="1" applyProtection="1">
      <alignment vertical="center"/>
      <protection hidden="1"/>
    </xf>
    <xf numFmtId="177" fontId="86" fillId="0" borderId="32" xfId="0" applyNumberFormat="1" applyFont="1" applyBorder="1" applyProtection="1">
      <alignment vertical="center"/>
      <protection hidden="1"/>
    </xf>
    <xf numFmtId="182" fontId="134" fillId="0" borderId="0" xfId="0" applyNumberFormat="1" applyFont="1" applyProtection="1">
      <alignment vertical="center"/>
      <protection hidden="1"/>
    </xf>
    <xf numFmtId="177" fontId="86" fillId="0" borderId="0" xfId="0" applyNumberFormat="1" applyFont="1" applyProtection="1">
      <alignment vertical="center"/>
      <protection hidden="1"/>
    </xf>
    <xf numFmtId="179" fontId="86" fillId="0" borderId="0" xfId="0" applyNumberFormat="1" applyFont="1" applyProtection="1">
      <alignment vertical="center"/>
      <protection hidden="1"/>
    </xf>
    <xf numFmtId="179" fontId="86" fillId="0" borderId="10" xfId="0" applyNumberFormat="1" applyFont="1" applyBorder="1" applyAlignment="1" applyProtection="1">
      <alignment horizontal="center" vertical="center"/>
      <protection hidden="1"/>
    </xf>
    <xf numFmtId="0" fontId="86" fillId="0" borderId="10" xfId="0" applyFont="1" applyBorder="1" applyAlignment="1" applyProtection="1">
      <alignment horizontal="centerContinuous" vertical="center"/>
      <protection hidden="1"/>
    </xf>
    <xf numFmtId="0" fontId="86" fillId="0" borderId="10" xfId="0" quotePrefix="1" applyFont="1" applyBorder="1" applyAlignment="1" applyProtection="1">
      <alignment horizontal="center" vertical="center"/>
      <protection hidden="1"/>
    </xf>
    <xf numFmtId="0" fontId="89" fillId="0" borderId="0" xfId="0" applyFont="1" applyProtection="1">
      <alignment vertical="center"/>
      <protection hidden="1"/>
    </xf>
    <xf numFmtId="178" fontId="86" fillId="0" borderId="0" xfId="0" applyNumberFormat="1" applyFont="1" applyAlignment="1" applyProtection="1">
      <alignment horizontal="left" vertical="center"/>
      <protection hidden="1"/>
    </xf>
    <xf numFmtId="0" fontId="86" fillId="0" borderId="73" xfId="0" applyFont="1" applyBorder="1" applyProtection="1">
      <alignment vertical="center"/>
      <protection hidden="1"/>
    </xf>
    <xf numFmtId="0" fontId="86" fillId="0" borderId="72" xfId="0" applyFont="1" applyBorder="1" applyProtection="1">
      <alignment vertical="center"/>
      <protection hidden="1"/>
    </xf>
    <xf numFmtId="0" fontId="86" fillId="0" borderId="6" xfId="0" applyFont="1" applyBorder="1" applyProtection="1">
      <alignment vertical="center"/>
      <protection hidden="1"/>
    </xf>
    <xf numFmtId="0" fontId="86" fillId="0" borderId="74" xfId="0" applyFont="1" applyBorder="1" applyProtection="1">
      <alignment vertical="center"/>
      <protection hidden="1"/>
    </xf>
    <xf numFmtId="0" fontId="86" fillId="0" borderId="10" xfId="0" applyFont="1" applyBorder="1" applyProtection="1">
      <alignment vertical="center"/>
      <protection hidden="1"/>
    </xf>
    <xf numFmtId="0" fontId="86" fillId="0" borderId="75" xfId="0" applyFont="1" applyBorder="1" applyProtection="1">
      <alignment vertical="center"/>
      <protection hidden="1"/>
    </xf>
    <xf numFmtId="0" fontId="86" fillId="0" borderId="76" xfId="0" applyFont="1" applyBorder="1" applyProtection="1">
      <alignment vertical="center"/>
      <protection hidden="1"/>
    </xf>
    <xf numFmtId="209" fontId="86" fillId="0" borderId="0" xfId="0" applyNumberFormat="1" applyFont="1" applyAlignment="1" applyProtection="1">
      <alignment horizontal="center" vertical="center"/>
      <protection hidden="1"/>
    </xf>
    <xf numFmtId="177" fontId="100" fillId="0" borderId="0" xfId="1106" applyNumberFormat="1" applyFont="1" applyAlignment="1" applyProtection="1">
      <alignment horizontal="center" vertical="center"/>
      <protection hidden="1"/>
    </xf>
    <xf numFmtId="178" fontId="85" fillId="0" borderId="0" xfId="0" applyNumberFormat="1" applyFont="1" applyAlignment="1" applyProtection="1">
      <alignment horizontal="left" vertical="center"/>
      <protection hidden="1"/>
    </xf>
    <xf numFmtId="209" fontId="134" fillId="0" borderId="0" xfId="0" applyNumberFormat="1" applyFont="1" applyProtection="1">
      <alignment vertical="center"/>
      <protection hidden="1"/>
    </xf>
    <xf numFmtId="178" fontId="134" fillId="0" borderId="0" xfId="1106" applyNumberFormat="1" applyFont="1" applyAlignment="1" applyProtection="1">
      <alignment horizontal="center" vertical="center"/>
      <protection locked="0"/>
    </xf>
    <xf numFmtId="183" fontId="134" fillId="0" borderId="0" xfId="1106" applyNumberFormat="1" applyFont="1" applyAlignment="1" applyProtection="1">
      <alignment horizontal="center" vertical="center"/>
      <protection hidden="1"/>
    </xf>
    <xf numFmtId="183" fontId="134" fillId="0" borderId="0" xfId="1106" applyNumberFormat="1" applyFont="1" applyAlignment="1" applyProtection="1">
      <alignment horizontal="center" vertical="center"/>
      <protection locked="0"/>
    </xf>
    <xf numFmtId="0" fontId="100" fillId="0" borderId="0" xfId="1107" applyFont="1" applyAlignment="1" applyProtection="1">
      <alignment horizontal="center" vertical="center"/>
      <protection hidden="1"/>
    </xf>
    <xf numFmtId="177" fontId="134" fillId="0" borderId="0" xfId="1106" applyNumberFormat="1" applyFont="1" applyAlignment="1" applyProtection="1">
      <alignment horizontal="center" vertical="center"/>
      <protection locked="0"/>
    </xf>
    <xf numFmtId="180" fontId="100" fillId="0" borderId="0" xfId="0" applyNumberFormat="1" applyFont="1" applyAlignment="1" applyProtection="1">
      <alignment horizontal="center" vertical="center"/>
      <protection hidden="1"/>
    </xf>
    <xf numFmtId="177" fontId="134" fillId="0" borderId="0" xfId="1106" applyNumberFormat="1" applyFont="1" applyAlignment="1" applyProtection="1">
      <alignment horizontal="center" vertical="center"/>
      <protection hidden="1"/>
    </xf>
    <xf numFmtId="180" fontId="134" fillId="0" borderId="0" xfId="0" applyNumberFormat="1" applyFont="1" applyAlignment="1" applyProtection="1">
      <alignment horizontal="center" vertical="center"/>
      <protection locked="0"/>
    </xf>
    <xf numFmtId="177" fontId="134" fillId="0" borderId="0" xfId="0" applyNumberFormat="1" applyFont="1" applyAlignment="1" applyProtection="1">
      <alignment horizontal="center" vertical="center"/>
      <protection hidden="1"/>
    </xf>
    <xf numFmtId="180" fontId="134" fillId="0" borderId="0" xfId="0" applyNumberFormat="1" applyFont="1" applyAlignment="1" applyProtection="1">
      <alignment horizontal="center" vertical="center"/>
      <protection hidden="1"/>
    </xf>
    <xf numFmtId="0" fontId="134" fillId="0" borderId="0" xfId="0" applyFont="1" applyAlignment="1" applyProtection="1">
      <alignment horizontal="center" vertical="center"/>
      <protection hidden="1"/>
    </xf>
    <xf numFmtId="0" fontId="134" fillId="0" borderId="0" xfId="0" applyFont="1" applyAlignment="1" applyProtection="1">
      <alignment horizontal="center" vertical="center"/>
      <protection locked="0"/>
    </xf>
    <xf numFmtId="0" fontId="86" fillId="0" borderId="65" xfId="0" applyFont="1" applyBorder="1" applyAlignment="1" applyProtection="1">
      <alignment horizontal="center" vertical="center"/>
      <protection locked="0"/>
    </xf>
    <xf numFmtId="0" fontId="86" fillId="0" borderId="61" xfId="0" applyFont="1" applyBorder="1" applyAlignment="1" applyProtection="1">
      <alignment horizontal="center" vertical="center"/>
      <protection locked="0"/>
    </xf>
    <xf numFmtId="178" fontId="86" fillId="0" borderId="83" xfId="0" applyNumberFormat="1" applyFont="1" applyBorder="1" applyAlignment="1" applyProtection="1">
      <alignment horizontal="center" vertical="center"/>
      <protection locked="0"/>
    </xf>
    <xf numFmtId="178" fontId="86" fillId="0" borderId="84" xfId="0" applyNumberFormat="1" applyFont="1" applyBorder="1" applyAlignment="1" applyProtection="1">
      <alignment horizontal="center" vertical="center"/>
      <protection locked="0"/>
    </xf>
    <xf numFmtId="178" fontId="86" fillId="0" borderId="85" xfId="0" applyNumberFormat="1" applyFont="1" applyBorder="1" applyAlignment="1" applyProtection="1">
      <alignment horizontal="center" vertical="center"/>
      <protection locked="0"/>
    </xf>
    <xf numFmtId="180" fontId="86" fillId="0" borderId="61" xfId="0" applyNumberFormat="1" applyFont="1" applyBorder="1" applyAlignment="1" applyProtection="1">
      <alignment horizontal="center" vertical="center"/>
      <protection hidden="1"/>
    </xf>
    <xf numFmtId="178" fontId="86" fillId="0" borderId="61" xfId="0" applyNumberFormat="1" applyFont="1" applyBorder="1" applyAlignment="1" applyProtection="1">
      <alignment horizontal="center" vertical="center"/>
      <protection hidden="1"/>
    </xf>
    <xf numFmtId="179" fontId="86" fillId="0" borderId="83" xfId="0" applyNumberFormat="1" applyFont="1" applyBorder="1" applyAlignment="1" applyProtection="1">
      <alignment horizontal="center" vertical="center"/>
      <protection hidden="1"/>
    </xf>
    <xf numFmtId="179" fontId="86" fillId="0" borderId="84" xfId="0" applyNumberFormat="1" applyFont="1" applyBorder="1" applyAlignment="1" applyProtection="1">
      <alignment horizontal="center" vertical="center"/>
      <protection hidden="1"/>
    </xf>
    <xf numFmtId="179" fontId="86" fillId="0" borderId="85" xfId="0" applyNumberFormat="1" applyFont="1" applyBorder="1" applyAlignment="1" applyProtection="1">
      <alignment horizontal="center" vertical="center"/>
      <protection hidden="1"/>
    </xf>
    <xf numFmtId="0" fontId="86" fillId="0" borderId="83" xfId="0" applyFont="1" applyBorder="1" applyAlignment="1" applyProtection="1">
      <alignment horizontal="center" vertical="center"/>
      <protection hidden="1"/>
    </xf>
    <xf numFmtId="0" fontId="86" fillId="0" borderId="84" xfId="0" applyFont="1" applyBorder="1" applyAlignment="1" applyProtection="1">
      <alignment horizontal="center" vertical="center"/>
      <protection hidden="1"/>
    </xf>
    <xf numFmtId="0" fontId="86" fillId="0" borderId="92" xfId="0" applyFont="1" applyBorder="1" applyAlignment="1" applyProtection="1">
      <alignment horizontal="center" vertical="center"/>
      <protection hidden="1"/>
    </xf>
    <xf numFmtId="0" fontId="85" fillId="3" borderId="80" xfId="0" applyFont="1" applyFill="1" applyBorder="1" applyAlignment="1" applyProtection="1">
      <alignment horizontal="center" vertical="center" wrapText="1"/>
      <protection hidden="1"/>
    </xf>
    <xf numFmtId="0" fontId="85" fillId="3" borderId="81" xfId="0" applyFont="1" applyFill="1" applyBorder="1" applyAlignment="1" applyProtection="1">
      <alignment horizontal="center" vertical="center" wrapText="1"/>
      <protection hidden="1"/>
    </xf>
    <xf numFmtId="0" fontId="85" fillId="3" borderId="90" xfId="0" applyFont="1" applyFill="1" applyBorder="1" applyAlignment="1" applyProtection="1">
      <alignment horizontal="center" vertical="center" wrapText="1"/>
      <protection hidden="1"/>
    </xf>
    <xf numFmtId="0" fontId="85" fillId="3" borderId="62" xfId="0" applyFont="1" applyFill="1" applyBorder="1" applyAlignment="1" applyProtection="1">
      <alignment horizontal="center" vertical="center"/>
      <protection hidden="1"/>
    </xf>
    <xf numFmtId="0" fontId="85" fillId="3" borderId="63" xfId="0" applyFont="1" applyFill="1" applyBorder="1" applyAlignment="1" applyProtection="1">
      <alignment horizontal="center" vertical="center"/>
      <protection hidden="1"/>
    </xf>
    <xf numFmtId="0" fontId="85" fillId="3" borderId="63" xfId="0" applyFont="1" applyFill="1" applyBorder="1" applyAlignment="1" applyProtection="1">
      <alignment horizontal="center" vertical="center" wrapText="1"/>
      <protection hidden="1"/>
    </xf>
    <xf numFmtId="0" fontId="85" fillId="3" borderId="80" xfId="0" applyFont="1" applyFill="1" applyBorder="1" applyAlignment="1" applyProtection="1">
      <alignment horizontal="center" vertical="center"/>
      <protection hidden="1"/>
    </xf>
    <xf numFmtId="0" fontId="85" fillId="3" borderId="81" xfId="0" applyFont="1" applyFill="1" applyBorder="1" applyAlignment="1" applyProtection="1">
      <alignment horizontal="center" vertical="center"/>
      <protection hidden="1"/>
    </xf>
    <xf numFmtId="0" fontId="85" fillId="3" borderId="82" xfId="0" applyFont="1" applyFill="1" applyBorder="1" applyAlignment="1" applyProtection="1">
      <alignment horizontal="center" vertical="center"/>
      <protection hidden="1"/>
    </xf>
    <xf numFmtId="0" fontId="86" fillId="0" borderId="0" xfId="0" applyFont="1" applyAlignment="1" applyProtection="1">
      <alignment horizontal="center" vertical="center"/>
      <protection hidden="1"/>
    </xf>
    <xf numFmtId="178" fontId="86" fillId="0" borderId="61" xfId="0" applyNumberFormat="1" applyFont="1" applyBorder="1" applyAlignment="1" applyProtection="1">
      <alignment horizontal="center" vertical="center"/>
      <protection locked="0"/>
    </xf>
    <xf numFmtId="0" fontId="86" fillId="0" borderId="93" xfId="0" applyFont="1" applyBorder="1" applyAlignment="1" applyProtection="1">
      <alignment horizontal="center" vertical="center"/>
      <protection locked="0"/>
    </xf>
    <xf numFmtId="0" fontId="86" fillId="0" borderId="84" xfId="0" applyFont="1" applyBorder="1" applyAlignment="1" applyProtection="1">
      <alignment horizontal="center" vertical="center"/>
      <protection locked="0"/>
    </xf>
    <xf numFmtId="0" fontId="86" fillId="0" borderId="85" xfId="0" applyFont="1" applyBorder="1" applyAlignment="1" applyProtection="1">
      <alignment horizontal="center" vertical="center"/>
      <protection locked="0"/>
    </xf>
    <xf numFmtId="0" fontId="86" fillId="0" borderId="67" xfId="0" applyFont="1" applyBorder="1" applyAlignment="1" applyProtection="1">
      <alignment horizontal="center" vertical="center"/>
      <protection locked="0"/>
    </xf>
    <xf numFmtId="0" fontId="86" fillId="0" borderId="22" xfId="0" applyFont="1" applyBorder="1" applyAlignment="1" applyProtection="1">
      <alignment horizontal="center" vertical="center"/>
      <protection locked="0"/>
    </xf>
    <xf numFmtId="178" fontId="86" fillId="0" borderId="22" xfId="0" applyNumberFormat="1" applyFont="1" applyBorder="1" applyAlignment="1" applyProtection="1">
      <alignment horizontal="center" vertical="center"/>
      <protection locked="0"/>
    </xf>
    <xf numFmtId="180" fontId="86" fillId="0" borderId="22" xfId="0" applyNumberFormat="1" applyFont="1" applyBorder="1" applyAlignment="1" applyProtection="1">
      <alignment horizontal="center" vertical="center"/>
      <protection hidden="1"/>
    </xf>
    <xf numFmtId="178" fontId="86" fillId="0" borderId="22" xfId="0" applyNumberFormat="1" applyFont="1" applyBorder="1" applyAlignment="1" applyProtection="1">
      <alignment horizontal="center" vertical="center"/>
      <protection hidden="1"/>
    </xf>
    <xf numFmtId="179" fontId="86" fillId="0" borderId="86" xfId="0" applyNumberFormat="1" applyFont="1" applyBorder="1" applyAlignment="1" applyProtection="1">
      <alignment horizontal="center" vertical="center"/>
      <protection hidden="1"/>
    </xf>
    <xf numFmtId="179" fontId="86" fillId="0" borderId="87" xfId="0" applyNumberFormat="1" applyFont="1" applyBorder="1" applyAlignment="1" applyProtection="1">
      <alignment horizontal="center" vertical="center"/>
      <protection hidden="1"/>
    </xf>
    <xf numFmtId="179" fontId="86" fillId="0" borderId="88" xfId="0" applyNumberFormat="1" applyFont="1" applyBorder="1" applyAlignment="1" applyProtection="1">
      <alignment horizontal="center" vertical="center"/>
      <protection hidden="1"/>
    </xf>
    <xf numFmtId="0" fontId="86" fillId="0" borderId="86" xfId="0" applyFont="1" applyBorder="1" applyAlignment="1" applyProtection="1">
      <alignment horizontal="center" vertical="center"/>
      <protection hidden="1"/>
    </xf>
    <xf numFmtId="0" fontId="86" fillId="0" borderId="87" xfId="0" applyFont="1" applyBorder="1" applyAlignment="1" applyProtection="1">
      <alignment horizontal="center" vertical="center"/>
      <protection hidden="1"/>
    </xf>
    <xf numFmtId="0" fontId="86" fillId="0" borderId="101" xfId="0" applyFont="1" applyBorder="1" applyAlignment="1" applyProtection="1">
      <alignment horizontal="center" vertical="center"/>
      <protection hidden="1"/>
    </xf>
    <xf numFmtId="0" fontId="85" fillId="2" borderId="62" xfId="0" applyFont="1" applyFill="1" applyBorder="1" applyAlignment="1" applyProtection="1">
      <alignment horizontal="center" vertical="center"/>
      <protection hidden="1"/>
    </xf>
    <xf numFmtId="0" fontId="85" fillId="2" borderId="63" xfId="0" quotePrefix="1" applyFont="1" applyFill="1" applyBorder="1" applyAlignment="1" applyProtection="1">
      <alignment horizontal="center" vertical="center"/>
      <protection hidden="1"/>
    </xf>
    <xf numFmtId="0" fontId="85" fillId="2" borderId="63" xfId="0" applyFont="1" applyFill="1" applyBorder="1" applyAlignment="1" applyProtection="1">
      <alignment horizontal="center" vertical="center"/>
      <protection hidden="1"/>
    </xf>
    <xf numFmtId="0" fontId="85" fillId="2" borderId="64" xfId="0" applyFont="1" applyFill="1" applyBorder="1" applyAlignment="1" applyProtection="1">
      <alignment horizontal="center" vertical="center"/>
      <protection hidden="1"/>
    </xf>
    <xf numFmtId="0" fontId="85" fillId="34" borderId="69" xfId="0" applyFont="1" applyFill="1" applyBorder="1" applyAlignment="1" applyProtection="1">
      <alignment horizontal="center" vertical="center"/>
      <protection hidden="1"/>
    </xf>
    <xf numFmtId="0" fontId="85" fillId="34" borderId="70" xfId="0" quotePrefix="1" applyFont="1" applyFill="1" applyBorder="1" applyAlignment="1" applyProtection="1">
      <alignment horizontal="center" vertical="center"/>
      <protection hidden="1"/>
    </xf>
    <xf numFmtId="0" fontId="85" fillId="34" borderId="65" xfId="0" quotePrefix="1" applyFont="1" applyFill="1" applyBorder="1" applyAlignment="1" applyProtection="1">
      <alignment horizontal="center" vertical="center"/>
      <protection hidden="1"/>
    </xf>
    <xf numFmtId="0" fontId="85" fillId="34" borderId="61" xfId="0" quotePrefix="1" applyFont="1" applyFill="1" applyBorder="1" applyAlignment="1" applyProtection="1">
      <alignment horizontal="center" vertical="center"/>
      <protection hidden="1"/>
    </xf>
    <xf numFmtId="0" fontId="86" fillId="34" borderId="70" xfId="0" applyFont="1" applyFill="1" applyBorder="1" applyAlignment="1" applyProtection="1">
      <alignment horizontal="center" vertical="center"/>
      <protection hidden="1"/>
    </xf>
    <xf numFmtId="0" fontId="86" fillId="34" borderId="61" xfId="0" applyFont="1" applyFill="1" applyBorder="1" applyAlignment="1" applyProtection="1">
      <alignment horizontal="center" vertical="center"/>
      <protection hidden="1"/>
    </xf>
    <xf numFmtId="0" fontId="86" fillId="34" borderId="70" xfId="0" applyFont="1" applyFill="1" applyBorder="1" applyAlignment="1" applyProtection="1">
      <alignment horizontal="center" vertical="center" wrapText="1"/>
      <protection hidden="1"/>
    </xf>
    <xf numFmtId="0" fontId="85" fillId="34" borderId="70" xfId="0" applyFont="1" applyFill="1" applyBorder="1" applyAlignment="1" applyProtection="1">
      <alignment horizontal="center" vertical="center"/>
      <protection hidden="1"/>
    </xf>
    <xf numFmtId="0" fontId="85" fillId="34" borderId="71" xfId="0" applyFont="1" applyFill="1" applyBorder="1" applyAlignment="1" applyProtection="1">
      <alignment horizontal="center" vertical="center"/>
      <protection hidden="1"/>
    </xf>
    <xf numFmtId="0" fontId="85" fillId="34" borderId="61" xfId="0" applyFont="1" applyFill="1" applyBorder="1" applyAlignment="1" applyProtection="1">
      <alignment horizontal="center" vertical="center"/>
      <protection hidden="1"/>
    </xf>
    <xf numFmtId="0" fontId="85" fillId="34" borderId="66" xfId="0" applyFont="1" applyFill="1" applyBorder="1" applyAlignment="1" applyProtection="1">
      <alignment horizontal="center" vertical="center"/>
      <protection hidden="1"/>
    </xf>
    <xf numFmtId="0" fontId="86" fillId="34" borderId="61" xfId="0" applyFont="1" applyFill="1" applyBorder="1" applyAlignment="1" applyProtection="1">
      <alignment horizontal="center" vertical="center" wrapText="1"/>
      <protection hidden="1"/>
    </xf>
    <xf numFmtId="0" fontId="85" fillId="34" borderId="65" xfId="0" applyFont="1" applyFill="1" applyBorder="1" applyAlignment="1" applyProtection="1">
      <alignment horizontal="center" vertical="center"/>
      <protection hidden="1"/>
    </xf>
    <xf numFmtId="0" fontId="86" fillId="34" borderId="70" xfId="0" applyFont="1" applyFill="1" applyBorder="1" applyAlignment="1" applyProtection="1">
      <alignment horizontal="left" vertical="center" wrapText="1"/>
      <protection hidden="1"/>
    </xf>
    <xf numFmtId="0" fontId="86" fillId="34" borderId="61" xfId="0" applyFont="1" applyFill="1" applyBorder="1" applyAlignment="1" applyProtection="1">
      <alignment horizontal="left" vertical="center" wrapText="1"/>
      <protection hidden="1"/>
    </xf>
    <xf numFmtId="0" fontId="86" fillId="0" borderId="65" xfId="0" applyFont="1" applyBorder="1" applyAlignment="1" applyProtection="1">
      <alignment horizontal="center" vertical="center"/>
      <protection hidden="1"/>
    </xf>
    <xf numFmtId="0" fontId="86" fillId="0" borderId="61" xfId="0" applyFont="1" applyBorder="1" applyAlignment="1" applyProtection="1">
      <alignment horizontal="center" vertical="center"/>
      <protection hidden="1"/>
    </xf>
    <xf numFmtId="0" fontId="86" fillId="0" borderId="67" xfId="0" applyFont="1" applyBorder="1" applyAlignment="1" applyProtection="1">
      <alignment horizontal="center" vertical="center"/>
      <protection hidden="1"/>
    </xf>
    <xf numFmtId="0" fontId="86" fillId="0" borderId="22" xfId="0" applyFont="1" applyBorder="1" applyAlignment="1" applyProtection="1">
      <alignment horizontal="center" vertical="center"/>
      <protection hidden="1"/>
    </xf>
    <xf numFmtId="0" fontId="86" fillId="0" borderId="61" xfId="0" applyFont="1" applyBorder="1" applyAlignment="1" applyProtection="1">
      <alignment horizontal="left" vertical="center" wrapText="1"/>
      <protection hidden="1"/>
    </xf>
    <xf numFmtId="0" fontId="86" fillId="0" borderId="61" xfId="0" applyFont="1" applyBorder="1" applyAlignment="1" applyProtection="1">
      <alignment horizontal="left" vertical="center"/>
      <protection hidden="1"/>
    </xf>
    <xf numFmtId="0" fontId="86" fillId="0" borderId="22" xfId="0" applyFont="1" applyBorder="1" applyAlignment="1" applyProtection="1">
      <alignment horizontal="left" vertical="center"/>
      <protection hidden="1"/>
    </xf>
    <xf numFmtId="0" fontId="86" fillId="0" borderId="66" xfId="0" applyFont="1" applyBorder="1" applyAlignment="1" applyProtection="1">
      <alignment horizontal="center" vertical="center"/>
      <protection hidden="1"/>
    </xf>
    <xf numFmtId="0" fontId="86" fillId="0" borderId="68" xfId="0" applyFont="1" applyBorder="1" applyAlignment="1" applyProtection="1">
      <alignment horizontal="center" vertical="center"/>
      <protection hidden="1"/>
    </xf>
    <xf numFmtId="0" fontId="86" fillId="32" borderId="65" xfId="0" applyFont="1" applyFill="1" applyBorder="1" applyAlignment="1" applyProtection="1">
      <alignment horizontal="center" vertical="center"/>
      <protection hidden="1"/>
    </xf>
    <xf numFmtId="0" fontId="86" fillId="32" borderId="61" xfId="0" applyFont="1" applyFill="1" applyBorder="1" applyAlignment="1" applyProtection="1">
      <alignment horizontal="center" vertical="center"/>
      <protection hidden="1"/>
    </xf>
    <xf numFmtId="0" fontId="86" fillId="32" borderId="67" xfId="0" applyFont="1" applyFill="1" applyBorder="1" applyAlignment="1" applyProtection="1">
      <alignment horizontal="center" vertical="center"/>
      <protection hidden="1"/>
    </xf>
    <xf numFmtId="0" fontId="86" fillId="32" borderId="22" xfId="0" applyFont="1" applyFill="1" applyBorder="1" applyAlignment="1" applyProtection="1">
      <alignment horizontal="center" vertical="center"/>
      <protection hidden="1"/>
    </xf>
    <xf numFmtId="0" fontId="86" fillId="32" borderId="66" xfId="0" applyFont="1" applyFill="1" applyBorder="1" applyAlignment="1" applyProtection="1">
      <alignment horizontal="center" vertical="center"/>
      <protection hidden="1"/>
    </xf>
    <xf numFmtId="0" fontId="86" fillId="32" borderId="68" xfId="0" applyFont="1" applyFill="1" applyBorder="1" applyAlignment="1" applyProtection="1">
      <alignment horizontal="center" vertical="center"/>
      <protection hidden="1"/>
    </xf>
    <xf numFmtId="0" fontId="85" fillId="3" borderId="65" xfId="0" applyFont="1" applyFill="1" applyBorder="1" applyAlignment="1" applyProtection="1">
      <alignment horizontal="center" vertical="center"/>
      <protection hidden="1"/>
    </xf>
    <xf numFmtId="0" fontId="85" fillId="3" borderId="61" xfId="0" applyFont="1" applyFill="1" applyBorder="1" applyAlignment="1" applyProtection="1">
      <alignment horizontal="center" vertical="center"/>
      <protection hidden="1"/>
    </xf>
    <xf numFmtId="0" fontId="85" fillId="3" borderId="64" xfId="0" applyFont="1" applyFill="1" applyBorder="1" applyAlignment="1" applyProtection="1">
      <alignment horizontal="center" vertical="center"/>
      <protection hidden="1"/>
    </xf>
    <xf numFmtId="0" fontId="85" fillId="3" borderId="66" xfId="0" applyFont="1" applyFill="1" applyBorder="1" applyAlignment="1" applyProtection="1">
      <alignment horizontal="center" vertical="center"/>
      <protection hidden="1"/>
    </xf>
    <xf numFmtId="215" fontId="86" fillId="0" borderId="0" xfId="0" applyNumberFormat="1" applyFont="1" applyAlignment="1" applyProtection="1">
      <alignment horizontal="center" vertical="center"/>
      <protection hidden="1"/>
    </xf>
    <xf numFmtId="178" fontId="86" fillId="0" borderId="0" xfId="0" applyNumberFormat="1" applyFont="1" applyAlignment="1">
      <alignment horizontal="center" vertical="center"/>
    </xf>
    <xf numFmtId="0" fontId="85" fillId="2" borderId="102" xfId="0" applyFont="1" applyFill="1" applyBorder="1" applyAlignment="1" applyProtection="1">
      <alignment horizontal="center" vertical="center"/>
      <protection hidden="1"/>
    </xf>
    <xf numFmtId="0" fontId="85" fillId="2" borderId="103" xfId="0" applyFont="1" applyFill="1" applyBorder="1" applyAlignment="1" applyProtection="1">
      <alignment horizontal="center" vertical="center"/>
      <protection hidden="1"/>
    </xf>
    <xf numFmtId="0" fontId="85" fillId="2" borderId="63" xfId="0" applyFont="1" applyFill="1" applyBorder="1" applyAlignment="1" applyProtection="1">
      <alignment horizontal="center" vertical="center" wrapText="1"/>
      <protection hidden="1"/>
    </xf>
    <xf numFmtId="0" fontId="85" fillId="2" borderId="61" xfId="0" applyFont="1" applyFill="1" applyBorder="1" applyAlignment="1" applyProtection="1">
      <alignment horizontal="center" vertical="center" wrapText="1"/>
      <protection hidden="1"/>
    </xf>
    <xf numFmtId="0" fontId="85" fillId="2" borderId="61" xfId="0" applyFont="1" applyFill="1" applyBorder="1" applyAlignment="1" applyProtection="1">
      <alignment horizontal="center" vertical="center"/>
      <protection hidden="1"/>
    </xf>
    <xf numFmtId="0" fontId="86" fillId="32" borderId="77" xfId="0" applyFont="1" applyFill="1" applyBorder="1" applyAlignment="1" applyProtection="1">
      <alignment horizontal="center" vertical="center"/>
      <protection hidden="1"/>
    </xf>
    <xf numFmtId="0" fontId="86" fillId="32" borderId="78" xfId="0" applyFont="1" applyFill="1" applyBorder="1" applyAlignment="1" applyProtection="1">
      <alignment horizontal="center" vertical="center"/>
      <protection hidden="1"/>
    </xf>
    <xf numFmtId="0" fontId="85" fillId="34" borderId="78" xfId="0" applyFont="1" applyFill="1" applyBorder="1" applyAlignment="1" applyProtection="1">
      <alignment horizontal="center" vertical="center"/>
      <protection hidden="1"/>
    </xf>
    <xf numFmtId="176" fontId="86" fillId="32" borderId="78" xfId="0" applyNumberFormat="1" applyFont="1" applyFill="1" applyBorder="1" applyAlignment="1" applyProtection="1">
      <alignment horizontal="center" vertical="center"/>
      <protection hidden="1"/>
    </xf>
    <xf numFmtId="176" fontId="85" fillId="34" borderId="78" xfId="0" applyNumberFormat="1" applyFont="1" applyFill="1" applyBorder="1" applyAlignment="1" applyProtection="1">
      <alignment horizontal="center" vertical="center"/>
      <protection hidden="1"/>
    </xf>
    <xf numFmtId="176" fontId="86" fillId="32" borderId="79" xfId="0" applyNumberFormat="1" applyFont="1" applyFill="1" applyBorder="1" applyAlignment="1" applyProtection="1">
      <alignment horizontal="center" vertical="center"/>
      <protection hidden="1"/>
    </xf>
    <xf numFmtId="0" fontId="85" fillId="2" borderId="66" xfId="0" applyFont="1" applyFill="1" applyBorder="1" applyAlignment="1" applyProtection="1">
      <alignment horizontal="center" vertical="center"/>
      <protection hidden="1"/>
    </xf>
    <xf numFmtId="0" fontId="85" fillId="0" borderId="32" xfId="0" applyFont="1" applyBorder="1" applyAlignment="1" applyProtection="1">
      <alignment horizontal="center" vertical="center"/>
      <protection locked="0"/>
    </xf>
    <xf numFmtId="0" fontId="85" fillId="0" borderId="32" xfId="0" applyFont="1" applyBorder="1" applyAlignment="1" applyProtection="1">
      <alignment horizontal="center" vertical="center" wrapText="1"/>
      <protection locked="0"/>
    </xf>
    <xf numFmtId="0" fontId="86" fillId="0" borderId="104" xfId="0" applyFont="1" applyBorder="1" applyAlignment="1" applyProtection="1">
      <alignment horizontal="center" vertical="center"/>
      <protection locked="0"/>
    </xf>
    <xf numFmtId="182" fontId="86" fillId="0" borderId="75" xfId="0" applyNumberFormat="1" applyFont="1" applyBorder="1" applyAlignment="1" applyProtection="1">
      <alignment horizontal="center" vertical="center"/>
      <protection hidden="1"/>
    </xf>
    <xf numFmtId="182" fontId="86" fillId="0" borderId="70" xfId="0" applyNumberFormat="1" applyFont="1" applyBorder="1" applyAlignment="1" applyProtection="1">
      <alignment horizontal="center" vertical="center"/>
      <protection hidden="1"/>
    </xf>
    <xf numFmtId="178" fontId="86" fillId="0" borderId="70" xfId="0" applyNumberFormat="1" applyFont="1" applyBorder="1" applyAlignment="1" applyProtection="1">
      <alignment horizontal="center" vertical="center"/>
      <protection hidden="1"/>
    </xf>
    <xf numFmtId="179" fontId="86" fillId="0" borderId="70" xfId="0" applyNumberFormat="1" applyFont="1" applyBorder="1" applyAlignment="1" applyProtection="1">
      <alignment horizontal="center" vertical="center"/>
      <protection hidden="1"/>
    </xf>
    <xf numFmtId="0" fontId="86" fillId="0" borderId="93" xfId="0" applyFont="1" applyBorder="1" applyAlignment="1" applyProtection="1">
      <alignment horizontal="center" vertical="center"/>
      <protection hidden="1"/>
    </xf>
    <xf numFmtId="0" fontId="86" fillId="0" borderId="85" xfId="0" applyFont="1" applyBorder="1" applyAlignment="1" applyProtection="1">
      <alignment horizontal="center" vertical="center"/>
      <protection hidden="1"/>
    </xf>
    <xf numFmtId="182" fontId="86" fillId="0" borderId="83" xfId="0" applyNumberFormat="1" applyFont="1" applyBorder="1" applyAlignment="1" applyProtection="1">
      <alignment horizontal="center" vertical="center"/>
      <protection hidden="1"/>
    </xf>
    <xf numFmtId="182" fontId="86" fillId="0" borderId="84" xfId="0" applyNumberFormat="1" applyFont="1" applyBorder="1" applyAlignment="1" applyProtection="1">
      <alignment horizontal="center" vertical="center"/>
      <protection hidden="1"/>
    </xf>
    <xf numFmtId="182" fontId="86" fillId="0" borderId="85" xfId="0" applyNumberFormat="1" applyFont="1" applyBorder="1" applyAlignment="1" applyProtection="1">
      <alignment horizontal="center" vertical="center"/>
      <protection hidden="1"/>
    </xf>
    <xf numFmtId="178" fontId="86" fillId="0" borderId="83" xfId="0" applyNumberFormat="1" applyFont="1" applyBorder="1" applyAlignment="1" applyProtection="1">
      <alignment horizontal="center" vertical="center"/>
      <protection hidden="1"/>
    </xf>
    <xf numFmtId="178" fontId="86" fillId="0" borderId="84" xfId="0" applyNumberFormat="1" applyFont="1" applyBorder="1" applyAlignment="1" applyProtection="1">
      <alignment horizontal="center" vertical="center"/>
      <protection hidden="1"/>
    </xf>
    <xf numFmtId="178" fontId="86" fillId="0" borderId="85" xfId="0" applyNumberFormat="1" applyFont="1" applyBorder="1" applyAlignment="1" applyProtection="1">
      <alignment horizontal="center" vertical="center"/>
      <protection hidden="1"/>
    </xf>
    <xf numFmtId="179" fontId="86" fillId="0" borderId="61" xfId="0" applyNumberFormat="1" applyFont="1" applyBorder="1" applyAlignment="1" applyProtection="1">
      <alignment horizontal="center" vertical="center"/>
      <protection hidden="1"/>
    </xf>
    <xf numFmtId="177" fontId="86" fillId="0" borderId="61" xfId="0" applyNumberFormat="1" applyFont="1" applyBorder="1" applyAlignment="1" applyProtection="1">
      <alignment horizontal="center" vertical="center"/>
      <protection hidden="1"/>
    </xf>
    <xf numFmtId="177" fontId="86" fillId="0" borderId="66" xfId="0" applyNumberFormat="1" applyFont="1" applyBorder="1" applyAlignment="1" applyProtection="1">
      <alignment horizontal="center" vertical="center"/>
      <protection hidden="1"/>
    </xf>
    <xf numFmtId="177" fontId="86" fillId="0" borderId="70" xfId="0" applyNumberFormat="1" applyFont="1" applyBorder="1" applyAlignment="1" applyProtection="1">
      <alignment horizontal="center" vertical="center"/>
      <protection hidden="1"/>
    </xf>
    <xf numFmtId="177" fontId="86" fillId="0" borderId="71" xfId="0" applyNumberFormat="1" applyFont="1" applyBorder="1" applyAlignment="1" applyProtection="1">
      <alignment horizontal="center" vertical="center"/>
      <protection hidden="1"/>
    </xf>
    <xf numFmtId="182" fontId="86" fillId="0" borderId="83" xfId="0" applyNumberFormat="1" applyFont="1" applyBorder="1" applyAlignment="1">
      <alignment horizontal="center" vertical="center"/>
    </xf>
    <xf numFmtId="182" fontId="86" fillId="0" borderId="84" xfId="0" applyNumberFormat="1" applyFont="1" applyBorder="1" applyAlignment="1">
      <alignment horizontal="center" vertical="center"/>
    </xf>
    <xf numFmtId="182" fontId="86" fillId="0" borderId="85" xfId="0" applyNumberFormat="1" applyFont="1" applyBorder="1" applyAlignment="1">
      <alignment horizontal="center" vertical="center"/>
    </xf>
    <xf numFmtId="0" fontId="86" fillId="0" borderId="105" xfId="0" applyFont="1" applyBorder="1" applyAlignment="1" applyProtection="1">
      <alignment horizontal="center" vertical="center"/>
      <protection hidden="1"/>
    </xf>
    <xf numFmtId="0" fontId="86" fillId="0" borderId="88" xfId="0" applyFont="1" applyBorder="1" applyAlignment="1" applyProtection="1">
      <alignment horizontal="center" vertical="center"/>
      <protection hidden="1"/>
    </xf>
    <xf numFmtId="182" fontId="86" fillId="0" borderId="86" xfId="0" applyNumberFormat="1" applyFont="1" applyBorder="1" applyAlignment="1" applyProtection="1">
      <alignment horizontal="center" vertical="center"/>
      <protection hidden="1"/>
    </xf>
    <xf numFmtId="182" fontId="86" fillId="0" borderId="87" xfId="0" applyNumberFormat="1" applyFont="1" applyBorder="1" applyAlignment="1" applyProtection="1">
      <alignment horizontal="center" vertical="center"/>
      <protection hidden="1"/>
    </xf>
    <xf numFmtId="182" fontId="86" fillId="0" borderId="88" xfId="0" applyNumberFormat="1" applyFont="1" applyBorder="1" applyAlignment="1" applyProtection="1">
      <alignment horizontal="center" vertical="center"/>
      <protection hidden="1"/>
    </xf>
    <xf numFmtId="178" fontId="86" fillId="0" borderId="86" xfId="0" applyNumberFormat="1" applyFont="1" applyBorder="1" applyAlignment="1" applyProtection="1">
      <alignment horizontal="center" vertical="center"/>
      <protection hidden="1"/>
    </xf>
    <xf numFmtId="178" fontId="86" fillId="0" borderId="87" xfId="0" applyNumberFormat="1" applyFont="1" applyBorder="1" applyAlignment="1" applyProtection="1">
      <alignment horizontal="center" vertical="center"/>
      <protection hidden="1"/>
    </xf>
    <xf numFmtId="178" fontId="86" fillId="0" borderId="88" xfId="0" applyNumberFormat="1" applyFont="1" applyBorder="1" applyAlignment="1" applyProtection="1">
      <alignment horizontal="center" vertical="center"/>
      <protection hidden="1"/>
    </xf>
    <xf numFmtId="179" fontId="86" fillId="0" borderId="22" xfId="0" applyNumberFormat="1" applyFont="1" applyBorder="1" applyAlignment="1" applyProtection="1">
      <alignment horizontal="center" vertical="center"/>
      <protection hidden="1"/>
    </xf>
    <xf numFmtId="177" fontId="86" fillId="0" borderId="22" xfId="0" applyNumberFormat="1" applyFont="1" applyBorder="1" applyAlignment="1" applyProtection="1">
      <alignment horizontal="center" vertical="center"/>
      <protection hidden="1"/>
    </xf>
    <xf numFmtId="177" fontId="86" fillId="0" borderId="68" xfId="0" applyNumberFormat="1" applyFont="1" applyBorder="1" applyAlignment="1" applyProtection="1">
      <alignment horizontal="center" vertical="center"/>
      <protection hidden="1"/>
    </xf>
    <xf numFmtId="0" fontId="85" fillId="2" borderId="82" xfId="0" applyFont="1" applyFill="1" applyBorder="1" applyAlignment="1" applyProtection="1">
      <alignment horizontal="center" vertical="center"/>
      <protection hidden="1"/>
    </xf>
    <xf numFmtId="0" fontId="85" fillId="2" borderId="85" xfId="0" applyFont="1" applyFill="1" applyBorder="1" applyAlignment="1" applyProtection="1">
      <alignment horizontal="center" vertical="center"/>
      <protection hidden="1"/>
    </xf>
    <xf numFmtId="0" fontId="86" fillId="0" borderId="69" xfId="0" applyFont="1" applyBorder="1" applyAlignment="1" applyProtection="1">
      <alignment horizontal="center" vertical="center"/>
      <protection hidden="1"/>
    </xf>
    <xf numFmtId="0" fontId="86" fillId="0" borderId="70" xfId="0" applyFont="1" applyBorder="1" applyAlignment="1" applyProtection="1">
      <alignment horizontal="center" vertical="center"/>
      <protection hidden="1"/>
    </xf>
    <xf numFmtId="178" fontId="86" fillId="0" borderId="74" xfId="0" applyNumberFormat="1" applyFont="1" applyBorder="1" applyAlignment="1" applyProtection="1">
      <alignment horizontal="center" vertical="center"/>
      <protection hidden="1"/>
    </xf>
    <xf numFmtId="176" fontId="86" fillId="0" borderId="61" xfId="0" applyNumberFormat="1" applyFont="1" applyBorder="1" applyAlignment="1" applyProtection="1">
      <alignment horizontal="center" vertical="center"/>
      <protection locked="0"/>
    </xf>
    <xf numFmtId="179" fontId="86" fillId="0" borderId="75" xfId="0" applyNumberFormat="1" applyFont="1" applyBorder="1" applyAlignment="1" applyProtection="1">
      <alignment horizontal="center" vertical="center"/>
      <protection hidden="1"/>
    </xf>
    <xf numFmtId="179" fontId="86" fillId="0" borderId="71" xfId="0" applyNumberFormat="1" applyFont="1" applyBorder="1" applyAlignment="1" applyProtection="1">
      <alignment horizontal="center" vertical="center"/>
      <protection hidden="1"/>
    </xf>
    <xf numFmtId="0" fontId="85" fillId="2" borderId="65" xfId="0" applyFont="1" applyFill="1" applyBorder="1" applyAlignment="1" applyProtection="1">
      <alignment horizontal="center" vertical="center"/>
      <protection hidden="1"/>
    </xf>
    <xf numFmtId="0" fontId="85" fillId="2" borderId="80" xfId="0" applyFont="1" applyFill="1" applyBorder="1" applyAlignment="1" applyProtection="1">
      <alignment horizontal="center" vertical="center" wrapText="1"/>
      <protection hidden="1"/>
    </xf>
    <xf numFmtId="0" fontId="85" fillId="2" borderId="83" xfId="0" applyFont="1" applyFill="1" applyBorder="1" applyAlignment="1" applyProtection="1">
      <alignment horizontal="center" vertical="center" wrapText="1"/>
      <protection hidden="1"/>
    </xf>
    <xf numFmtId="0" fontId="85" fillId="3" borderId="106" xfId="0" applyFont="1" applyFill="1" applyBorder="1" applyAlignment="1" applyProtection="1">
      <alignment horizontal="center" vertical="center"/>
      <protection hidden="1"/>
    </xf>
    <xf numFmtId="0" fontId="85" fillId="3" borderId="107" xfId="0" applyFont="1" applyFill="1" applyBorder="1" applyAlignment="1" applyProtection="1">
      <alignment horizontal="center" vertical="center"/>
      <protection hidden="1"/>
    </xf>
    <xf numFmtId="179" fontId="86" fillId="0" borderId="66" xfId="0" applyNumberFormat="1" applyFont="1" applyBorder="1" applyAlignment="1" applyProtection="1">
      <alignment horizontal="center" vertical="center"/>
      <protection hidden="1"/>
    </xf>
    <xf numFmtId="0" fontId="86" fillId="0" borderId="77" xfId="0" applyFont="1" applyBorder="1" applyAlignment="1" applyProtection="1">
      <alignment horizontal="center" vertical="center"/>
      <protection hidden="1"/>
    </xf>
    <xf numFmtId="0" fontId="86" fillId="0" borderId="78" xfId="0" applyFont="1" applyBorder="1" applyAlignment="1" applyProtection="1">
      <alignment horizontal="center" vertical="center"/>
      <protection hidden="1"/>
    </xf>
    <xf numFmtId="182" fontId="86" fillId="0" borderId="78" xfId="0" applyNumberFormat="1" applyFont="1" applyBorder="1" applyAlignment="1" applyProtection="1">
      <alignment horizontal="center" vertical="center"/>
      <protection hidden="1"/>
    </xf>
    <xf numFmtId="178" fontId="86" fillId="0" borderId="78" xfId="0" applyNumberFormat="1" applyFont="1" applyBorder="1" applyAlignment="1" applyProtection="1">
      <alignment horizontal="center" vertical="center"/>
      <protection hidden="1"/>
    </xf>
    <xf numFmtId="178" fontId="86" fillId="0" borderId="89" xfId="0" applyNumberFormat="1" applyFont="1" applyBorder="1" applyAlignment="1" applyProtection="1">
      <alignment horizontal="center" vertical="center"/>
      <protection hidden="1"/>
    </xf>
    <xf numFmtId="176" fontId="86" fillId="0" borderId="22" xfId="0" applyNumberFormat="1" applyFont="1" applyBorder="1" applyAlignment="1" applyProtection="1">
      <alignment horizontal="center" vertical="center"/>
      <protection locked="0"/>
    </xf>
    <xf numFmtId="179" fontId="86" fillId="0" borderId="68" xfId="0" applyNumberFormat="1" applyFont="1" applyBorder="1" applyAlignment="1" applyProtection="1">
      <alignment horizontal="center" vertical="center"/>
      <protection hidden="1"/>
    </xf>
    <xf numFmtId="0" fontId="86" fillId="32" borderId="69" xfId="0" applyFont="1" applyFill="1" applyBorder="1" applyAlignment="1" applyProtection="1">
      <alignment horizontal="center" vertical="center"/>
      <protection hidden="1"/>
    </xf>
    <xf numFmtId="0" fontId="86" fillId="32" borderId="70" xfId="0" applyFont="1" applyFill="1" applyBorder="1" applyAlignment="1" applyProtection="1">
      <alignment horizontal="center" vertical="center"/>
      <protection hidden="1"/>
    </xf>
    <xf numFmtId="0" fontId="86" fillId="32" borderId="71" xfId="0" applyFont="1" applyFill="1" applyBorder="1" applyAlignment="1" applyProtection="1">
      <alignment horizontal="center" vertical="center"/>
      <protection hidden="1"/>
    </xf>
    <xf numFmtId="177" fontId="86" fillId="0" borderId="0" xfId="0" applyNumberFormat="1" applyFont="1" applyAlignment="1" applyProtection="1">
      <alignment horizontal="center" vertical="center"/>
      <protection hidden="1"/>
    </xf>
    <xf numFmtId="178" fontId="86" fillId="0" borderId="0" xfId="0" applyNumberFormat="1" applyFont="1" applyAlignment="1" applyProtection="1">
      <alignment horizontal="center" vertical="center"/>
      <protection hidden="1"/>
    </xf>
    <xf numFmtId="0" fontId="86" fillId="0" borderId="11" xfId="0" applyFont="1" applyBorder="1" applyAlignment="1" applyProtection="1">
      <alignment horizontal="center" vertical="center"/>
      <protection hidden="1"/>
    </xf>
    <xf numFmtId="176" fontId="86" fillId="0" borderId="0" xfId="0" applyNumberFormat="1" applyFont="1" applyAlignment="1" applyProtection="1">
      <alignment horizontal="center" vertical="center"/>
      <protection hidden="1"/>
    </xf>
    <xf numFmtId="176" fontId="86" fillId="0" borderId="10" xfId="0" applyNumberFormat="1" applyFont="1" applyBorder="1" applyAlignment="1" applyProtection="1">
      <alignment horizontal="center" vertical="center"/>
      <protection hidden="1"/>
    </xf>
    <xf numFmtId="0" fontId="86" fillId="0" borderId="0" xfId="0" quotePrefix="1" applyFont="1" applyAlignment="1" applyProtection="1">
      <alignment horizontal="center" vertical="center"/>
      <protection hidden="1"/>
    </xf>
    <xf numFmtId="176" fontId="86" fillId="0" borderId="70" xfId="0" applyNumberFormat="1" applyFont="1" applyBorder="1" applyAlignment="1" applyProtection="1">
      <alignment horizontal="center" vertical="center"/>
      <protection hidden="1"/>
    </xf>
    <xf numFmtId="0" fontId="86" fillId="0" borderId="71" xfId="0" applyFont="1" applyBorder="1" applyAlignment="1" applyProtection="1">
      <alignment horizontal="center" vertical="center"/>
      <protection hidden="1"/>
    </xf>
    <xf numFmtId="176" fontId="86" fillId="0" borderId="61" xfId="0" applyNumberFormat="1" applyFont="1" applyBorder="1" applyAlignment="1" applyProtection="1">
      <alignment horizontal="center" vertical="center"/>
      <protection hidden="1"/>
    </xf>
    <xf numFmtId="176" fontId="86" fillId="0" borderId="22" xfId="0" applyNumberFormat="1" applyFont="1" applyBorder="1" applyAlignment="1" applyProtection="1">
      <alignment horizontal="center" vertical="center"/>
      <protection hidden="1"/>
    </xf>
    <xf numFmtId="180" fontId="86" fillId="0" borderId="0" xfId="0" applyNumberFormat="1" applyFont="1" applyAlignment="1" applyProtection="1">
      <alignment horizontal="center" vertical="center"/>
      <protection hidden="1"/>
    </xf>
    <xf numFmtId="182" fontId="86" fillId="0" borderId="0" xfId="0" applyNumberFormat="1" applyFont="1" applyAlignment="1" applyProtection="1">
      <alignment horizontal="center" vertical="center"/>
      <protection hidden="1"/>
    </xf>
    <xf numFmtId="211" fontId="86" fillId="0" borderId="0" xfId="0" applyNumberFormat="1" applyFont="1" applyAlignment="1" applyProtection="1">
      <alignment horizontal="center" vertical="center"/>
      <protection hidden="1"/>
    </xf>
    <xf numFmtId="208" fontId="86" fillId="0" borderId="0" xfId="0" applyNumberFormat="1" applyFont="1" applyAlignment="1" applyProtection="1">
      <alignment horizontal="center" vertical="center"/>
      <protection hidden="1"/>
    </xf>
    <xf numFmtId="0" fontId="135" fillId="0" borderId="0" xfId="0" applyFont="1" applyAlignment="1" applyProtection="1">
      <alignment horizontal="center" vertical="center"/>
      <protection hidden="1"/>
    </xf>
    <xf numFmtId="0" fontId="100" fillId="0" borderId="0" xfId="0" applyFont="1" applyAlignment="1" applyProtection="1">
      <alignment horizontal="center" vertical="center"/>
      <protection hidden="1"/>
    </xf>
    <xf numFmtId="0" fontId="106" fillId="0" borderId="0" xfId="0" applyFont="1" applyAlignment="1" applyProtection="1">
      <alignment horizontal="center" vertical="center"/>
      <protection hidden="1"/>
    </xf>
    <xf numFmtId="0" fontId="106" fillId="0" borderId="11" xfId="0" applyFont="1" applyBorder="1" applyAlignment="1" applyProtection="1">
      <alignment horizontal="center" vertical="center"/>
      <protection hidden="1"/>
    </xf>
    <xf numFmtId="178" fontId="100" fillId="0" borderId="0" xfId="0" applyNumberFormat="1" applyFont="1" applyAlignment="1" applyProtection="1">
      <alignment horizontal="center" vertical="center"/>
      <protection hidden="1"/>
    </xf>
    <xf numFmtId="182" fontId="100" fillId="0" borderId="0" xfId="0" applyNumberFormat="1" applyFont="1" applyAlignment="1" applyProtection="1">
      <alignment horizontal="center" vertical="center"/>
      <protection hidden="1"/>
    </xf>
    <xf numFmtId="179" fontId="86" fillId="0" borderId="0" xfId="0" applyNumberFormat="1" applyFont="1" applyAlignment="1" applyProtection="1">
      <alignment horizontal="center" vertical="center"/>
      <protection hidden="1"/>
    </xf>
    <xf numFmtId="177" fontId="86" fillId="0" borderId="10" xfId="0" applyNumberFormat="1" applyFont="1" applyBorder="1" applyAlignment="1" applyProtection="1">
      <alignment horizontal="center" vertical="center"/>
      <protection hidden="1"/>
    </xf>
    <xf numFmtId="0" fontId="86" fillId="0" borderId="10" xfId="0" applyFont="1" applyBorder="1" applyAlignment="1" applyProtection="1">
      <alignment horizontal="center" vertical="center"/>
      <protection hidden="1"/>
    </xf>
    <xf numFmtId="218" fontId="86" fillId="0" borderId="0" xfId="0" applyNumberFormat="1" applyFont="1" applyAlignment="1" applyProtection="1">
      <alignment horizontal="center" vertical="center"/>
      <protection hidden="1"/>
    </xf>
    <xf numFmtId="211" fontId="86" fillId="0" borderId="0" xfId="0" quotePrefix="1" applyNumberFormat="1" applyFont="1" applyAlignment="1" applyProtection="1">
      <alignment horizontal="center" vertical="center"/>
      <protection hidden="1"/>
    </xf>
    <xf numFmtId="178" fontId="86" fillId="0" borderId="0" xfId="0" quotePrefix="1" applyNumberFormat="1" applyFont="1" applyAlignment="1" applyProtection="1">
      <alignment horizontal="center" vertical="center"/>
      <protection hidden="1"/>
    </xf>
    <xf numFmtId="0" fontId="122" fillId="0" borderId="10" xfId="0" quotePrefix="1" applyFont="1" applyBorder="1" applyAlignment="1" applyProtection="1">
      <alignment horizontal="center" vertical="center"/>
      <protection hidden="1"/>
    </xf>
    <xf numFmtId="0" fontId="86" fillId="0" borderId="10" xfId="0" quotePrefix="1" applyFont="1" applyBorder="1" applyAlignment="1" applyProtection="1">
      <alignment horizontal="center" vertical="center"/>
      <protection hidden="1"/>
    </xf>
    <xf numFmtId="177" fontId="86" fillId="0" borderId="0" xfId="0" applyNumberFormat="1" applyFont="1" applyProtection="1">
      <alignment vertical="center"/>
      <protection hidden="1"/>
    </xf>
    <xf numFmtId="209" fontId="86" fillId="0" borderId="0" xfId="0" applyNumberFormat="1" applyFont="1" applyAlignment="1" applyProtection="1">
      <alignment horizontal="center" vertical="center"/>
      <protection hidden="1"/>
    </xf>
    <xf numFmtId="216" fontId="86" fillId="0" borderId="0" xfId="0" applyNumberFormat="1" applyFont="1" applyAlignment="1" applyProtection="1">
      <alignment horizontal="center" vertical="center"/>
      <protection hidden="1"/>
    </xf>
    <xf numFmtId="178" fontId="86" fillId="0" borderId="77" xfId="0" applyNumberFormat="1" applyFont="1" applyBorder="1" applyAlignment="1" applyProtection="1">
      <alignment horizontal="center" vertical="center"/>
      <protection hidden="1"/>
    </xf>
    <xf numFmtId="177" fontId="86" fillId="0" borderId="78" xfId="0" applyNumberFormat="1" applyFont="1" applyBorder="1" applyAlignment="1" applyProtection="1">
      <alignment horizontal="center" vertical="center"/>
      <protection hidden="1"/>
    </xf>
    <xf numFmtId="0" fontId="86" fillId="0" borderId="79" xfId="0" applyFont="1" applyBorder="1" applyAlignment="1" applyProtection="1">
      <alignment horizontal="center" vertical="center"/>
      <protection hidden="1"/>
    </xf>
    <xf numFmtId="178" fontId="86" fillId="0" borderId="79" xfId="0" applyNumberFormat="1" applyFont="1" applyBorder="1" applyAlignment="1" applyProtection="1">
      <alignment horizontal="center" vertical="center"/>
      <protection hidden="1"/>
    </xf>
    <xf numFmtId="0" fontId="86" fillId="34" borderId="66" xfId="0" applyFont="1" applyFill="1" applyBorder="1" applyAlignment="1" applyProtection="1">
      <alignment horizontal="center" vertical="center"/>
      <protection hidden="1"/>
    </xf>
    <xf numFmtId="0" fontId="86" fillId="34" borderId="22" xfId="0" applyFont="1" applyFill="1" applyBorder="1" applyAlignment="1" applyProtection="1">
      <alignment horizontal="center" vertical="center"/>
      <protection hidden="1"/>
    </xf>
    <xf numFmtId="0" fontId="86" fillId="34" borderId="68" xfId="0" applyFont="1" applyFill="1" applyBorder="1" applyAlignment="1" applyProtection="1">
      <alignment horizontal="center" vertical="center"/>
      <protection hidden="1"/>
    </xf>
    <xf numFmtId="178" fontId="86" fillId="0" borderId="0" xfId="0" applyNumberFormat="1" applyFont="1" applyAlignment="1" applyProtection="1">
      <alignment horizontal="left" vertical="center"/>
      <protection hidden="1"/>
    </xf>
    <xf numFmtId="178" fontId="86" fillId="0" borderId="6" xfId="0" applyNumberFormat="1" applyFont="1" applyBorder="1" applyAlignment="1" applyProtection="1">
      <alignment horizontal="left" vertical="center"/>
      <protection hidden="1"/>
    </xf>
    <xf numFmtId="0" fontId="86" fillId="0" borderId="9" xfId="0" applyFont="1" applyBorder="1" applyAlignment="1" applyProtection="1">
      <alignment horizontal="center" vertical="center"/>
      <protection hidden="1"/>
    </xf>
    <xf numFmtId="0" fontId="86" fillId="0" borderId="7" xfId="0" applyFont="1" applyBorder="1" applyAlignment="1" applyProtection="1">
      <alignment horizontal="center" vertical="center"/>
      <protection hidden="1"/>
    </xf>
    <xf numFmtId="0" fontId="86" fillId="0" borderId="32" xfId="0" applyFont="1" applyBorder="1" applyAlignment="1" applyProtection="1">
      <alignment horizontal="center" vertical="center"/>
      <protection hidden="1"/>
    </xf>
    <xf numFmtId="0" fontId="86" fillId="0" borderId="35" xfId="0" applyFont="1" applyBorder="1" applyAlignment="1" applyProtection="1">
      <alignment horizontal="center" vertical="center"/>
      <protection hidden="1"/>
    </xf>
    <xf numFmtId="0" fontId="86" fillId="0" borderId="37" xfId="0" applyFont="1" applyBorder="1" applyAlignment="1" applyProtection="1">
      <alignment horizontal="center" vertical="center"/>
      <protection hidden="1"/>
    </xf>
    <xf numFmtId="0" fontId="86" fillId="0" borderId="34" xfId="0" applyFont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86" fillId="0" borderId="72" xfId="0" applyFont="1" applyBorder="1" applyAlignment="1" applyProtection="1">
      <alignment horizontal="center" vertical="center"/>
      <protection hidden="1"/>
    </xf>
    <xf numFmtId="176" fontId="86" fillId="0" borderId="73" xfId="0" applyNumberFormat="1" applyFont="1" applyBorder="1" applyAlignment="1" applyProtection="1">
      <alignment horizontal="center" vertical="center"/>
      <protection hidden="1"/>
    </xf>
    <xf numFmtId="176" fontId="86" fillId="0" borderId="72" xfId="0" applyNumberFormat="1" applyFont="1" applyBorder="1" applyAlignment="1" applyProtection="1">
      <alignment horizontal="center" vertical="center"/>
      <protection hidden="1"/>
    </xf>
    <xf numFmtId="0" fontId="86" fillId="0" borderId="70" xfId="0" applyFont="1" applyBorder="1" applyAlignment="1" applyProtection="1">
      <alignment horizontal="left" vertical="center" indent="1"/>
      <protection hidden="1"/>
    </xf>
    <xf numFmtId="0" fontId="86" fillId="0" borderId="61" xfId="0" applyFont="1" applyBorder="1" applyAlignment="1" applyProtection="1">
      <alignment horizontal="left" vertical="center" indent="1"/>
      <protection hidden="1"/>
    </xf>
    <xf numFmtId="0" fontId="86" fillId="0" borderId="22" xfId="0" applyFont="1" applyBorder="1" applyAlignment="1" applyProtection="1">
      <alignment horizontal="left" vertical="center" indent="1"/>
      <protection hidden="1"/>
    </xf>
    <xf numFmtId="0" fontId="100" fillId="0" borderId="0" xfId="1106" applyFont="1" applyAlignment="1" applyProtection="1">
      <alignment horizontal="center" vertical="center"/>
      <protection hidden="1"/>
    </xf>
    <xf numFmtId="183" fontId="100" fillId="0" borderId="0" xfId="0" applyNumberFormat="1" applyFont="1" applyAlignment="1" applyProtection="1">
      <alignment horizontal="center" vertical="center"/>
      <protection hidden="1"/>
    </xf>
    <xf numFmtId="179" fontId="100" fillId="0" borderId="0" xfId="0" applyNumberFormat="1" applyFont="1" applyAlignment="1" applyProtection="1">
      <alignment horizontal="center" vertical="center"/>
      <protection hidden="1"/>
    </xf>
    <xf numFmtId="181" fontId="100" fillId="0" borderId="0" xfId="0" applyNumberFormat="1" applyFont="1" applyAlignment="1" applyProtection="1">
      <alignment horizontal="center" vertical="center"/>
      <protection hidden="1"/>
    </xf>
    <xf numFmtId="177" fontId="100" fillId="0" borderId="0" xfId="0" applyNumberFormat="1" applyFont="1" applyAlignment="1" applyProtection="1">
      <alignment horizontal="center" vertical="center"/>
      <protection hidden="1"/>
    </xf>
    <xf numFmtId="176" fontId="100" fillId="0" borderId="0" xfId="0" applyNumberFormat="1" applyFont="1" applyAlignment="1" applyProtection="1">
      <alignment horizontal="center" vertical="center"/>
      <protection hidden="1"/>
    </xf>
    <xf numFmtId="214" fontId="100" fillId="0" borderId="0" xfId="0" applyNumberFormat="1" applyFont="1" applyAlignment="1" applyProtection="1">
      <alignment horizontal="center" vertical="center"/>
      <protection hidden="1"/>
    </xf>
    <xf numFmtId="0" fontId="100" fillId="0" borderId="0" xfId="0" applyFont="1" applyAlignment="1" applyProtection="1">
      <alignment horizontal="center" vertical="center"/>
      <protection locked="0"/>
    </xf>
    <xf numFmtId="220" fontId="100" fillId="0" borderId="0" xfId="0" applyNumberFormat="1" applyFont="1" applyAlignment="1" applyProtection="1">
      <alignment horizontal="center" vertical="center"/>
      <protection hidden="1"/>
    </xf>
    <xf numFmtId="221" fontId="100" fillId="0" borderId="0" xfId="0" applyNumberFormat="1" applyFont="1" applyAlignment="1" applyProtection="1">
      <alignment horizontal="center" vertical="center"/>
      <protection hidden="1"/>
    </xf>
    <xf numFmtId="219" fontId="100" fillId="0" borderId="0" xfId="0" applyNumberFormat="1" applyFont="1" applyAlignment="1" applyProtection="1">
      <alignment horizontal="center" vertical="center"/>
      <protection hidden="1"/>
    </xf>
    <xf numFmtId="214" fontId="134" fillId="0" borderId="0" xfId="0" applyNumberFormat="1" applyFont="1" applyAlignment="1" applyProtection="1">
      <alignment horizontal="center" vertical="center"/>
      <protection hidden="1"/>
    </xf>
    <xf numFmtId="211" fontId="134" fillId="0" borderId="0" xfId="0" applyNumberFormat="1" applyFont="1" applyAlignment="1" applyProtection="1">
      <alignment horizontal="center" vertical="center"/>
      <protection hidden="1"/>
    </xf>
    <xf numFmtId="210" fontId="134" fillId="0" borderId="0" xfId="0" applyNumberFormat="1" applyFont="1" applyAlignment="1" applyProtection="1">
      <alignment horizontal="center" vertical="center"/>
      <protection hidden="1"/>
    </xf>
    <xf numFmtId="209" fontId="134" fillId="0" borderId="0" xfId="0" applyNumberFormat="1" applyFont="1" applyAlignment="1" applyProtection="1">
      <alignment horizontal="center" vertical="center"/>
      <protection hidden="1"/>
    </xf>
    <xf numFmtId="216" fontId="100" fillId="0" borderId="0" xfId="0" applyNumberFormat="1" applyFont="1" applyAlignment="1" applyProtection="1">
      <alignment horizontal="center" vertical="center"/>
      <protection hidden="1"/>
    </xf>
    <xf numFmtId="213" fontId="134" fillId="0" borderId="0" xfId="0" applyNumberFormat="1" applyFont="1" applyAlignment="1" applyProtection="1">
      <alignment horizontal="center" vertical="center"/>
      <protection hidden="1"/>
    </xf>
    <xf numFmtId="211" fontId="100" fillId="0" borderId="0" xfId="0" applyNumberFormat="1" applyFont="1" applyAlignment="1" applyProtection="1">
      <alignment horizontal="center" vertical="center"/>
      <protection hidden="1"/>
    </xf>
    <xf numFmtId="0" fontId="100" fillId="0" borderId="61" xfId="0" applyFont="1" applyBorder="1" applyAlignment="1" applyProtection="1">
      <alignment horizontal="center" vertical="center"/>
      <protection hidden="1"/>
    </xf>
    <xf numFmtId="0" fontId="100" fillId="0" borderId="66" xfId="0" applyFont="1" applyBorder="1" applyAlignment="1" applyProtection="1">
      <alignment horizontal="center" vertical="center"/>
      <protection hidden="1"/>
    </xf>
    <xf numFmtId="213" fontId="100" fillId="0" borderId="61" xfId="0" applyNumberFormat="1" applyFont="1" applyBorder="1" applyAlignment="1" applyProtection="1">
      <alignment horizontal="center" vertical="center"/>
      <protection hidden="1"/>
    </xf>
    <xf numFmtId="0" fontId="134" fillId="3" borderId="62" xfId="0" applyFont="1" applyFill="1" applyBorder="1" applyAlignment="1" applyProtection="1">
      <alignment horizontal="center" vertical="center"/>
      <protection hidden="1"/>
    </xf>
    <xf numFmtId="0" fontId="134" fillId="3" borderId="63" xfId="0" applyFont="1" applyFill="1" applyBorder="1" applyAlignment="1" applyProtection="1">
      <alignment horizontal="center" vertical="center"/>
      <protection hidden="1"/>
    </xf>
    <xf numFmtId="0" fontId="134" fillId="3" borderId="64" xfId="0" applyFont="1" applyFill="1" applyBorder="1" applyAlignment="1" applyProtection="1">
      <alignment horizontal="center" vertical="center"/>
      <protection hidden="1"/>
    </xf>
    <xf numFmtId="0" fontId="100" fillId="0" borderId="65" xfId="0" applyFont="1" applyBorder="1" applyAlignment="1" applyProtection="1">
      <alignment horizontal="center" vertical="center"/>
      <protection hidden="1"/>
    </xf>
    <xf numFmtId="0" fontId="134" fillId="33" borderId="7" xfId="0" applyFont="1" applyFill="1" applyBorder="1" applyAlignment="1" applyProtection="1">
      <alignment horizontal="center" vertical="center"/>
      <protection hidden="1"/>
    </xf>
    <xf numFmtId="0" fontId="134" fillId="33" borderId="2" xfId="0" applyFont="1" applyFill="1" applyBorder="1" applyAlignment="1" applyProtection="1">
      <alignment horizontal="center" vertical="center"/>
      <protection hidden="1"/>
    </xf>
    <xf numFmtId="0" fontId="134" fillId="33" borderId="91" xfId="0" applyFont="1" applyFill="1" applyBorder="1" applyAlignment="1" applyProtection="1">
      <alignment horizontal="center" vertical="center"/>
      <protection hidden="1"/>
    </xf>
    <xf numFmtId="213" fontId="134" fillId="33" borderId="78" xfId="0" applyNumberFormat="1" applyFont="1" applyFill="1" applyBorder="1" applyAlignment="1" applyProtection="1">
      <alignment horizontal="center" vertical="center"/>
      <protection hidden="1"/>
    </xf>
    <xf numFmtId="0" fontId="134" fillId="33" borderId="78" xfId="0" applyFont="1" applyFill="1" applyBorder="1" applyAlignment="1" applyProtection="1">
      <alignment horizontal="center" vertical="center"/>
      <protection hidden="1"/>
    </xf>
    <xf numFmtId="0" fontId="134" fillId="33" borderId="79" xfId="0" applyFont="1" applyFill="1" applyBorder="1" applyAlignment="1" applyProtection="1">
      <alignment horizontal="center" vertical="center"/>
      <protection hidden="1"/>
    </xf>
    <xf numFmtId="0" fontId="134" fillId="33" borderId="93" xfId="0" applyFont="1" applyFill="1" applyBorder="1" applyAlignment="1" applyProtection="1">
      <alignment horizontal="center" vertical="center"/>
      <protection hidden="1"/>
    </xf>
    <xf numFmtId="0" fontId="134" fillId="33" borderId="84" xfId="0" applyFont="1" applyFill="1" applyBorder="1" applyAlignment="1" applyProtection="1">
      <alignment horizontal="center" vertical="center"/>
      <protection hidden="1"/>
    </xf>
    <xf numFmtId="0" fontId="134" fillId="33" borderId="85" xfId="0" applyFont="1" applyFill="1" applyBorder="1" applyAlignment="1" applyProtection="1">
      <alignment horizontal="center" vertical="center"/>
      <protection hidden="1"/>
    </xf>
    <xf numFmtId="213" fontId="134" fillId="33" borderId="61" xfId="0" applyNumberFormat="1" applyFont="1" applyFill="1" applyBorder="1" applyAlignment="1" applyProtection="1">
      <alignment horizontal="center" vertical="center"/>
      <protection hidden="1"/>
    </xf>
    <xf numFmtId="0" fontId="134" fillId="33" borderId="61" xfId="0" applyFont="1" applyFill="1" applyBorder="1" applyAlignment="1" applyProtection="1">
      <alignment horizontal="center" vertical="center"/>
      <protection hidden="1"/>
    </xf>
    <xf numFmtId="0" fontId="134" fillId="33" borderId="66" xfId="0" applyFont="1" applyFill="1" applyBorder="1" applyAlignment="1" applyProtection="1">
      <alignment horizontal="center" vertical="center"/>
      <protection hidden="1"/>
    </xf>
    <xf numFmtId="178" fontId="130" fillId="0" borderId="0" xfId="1106" applyNumberFormat="1" applyFont="1" applyAlignment="1" applyProtection="1">
      <alignment horizontal="center" vertical="center"/>
      <protection locked="0"/>
    </xf>
    <xf numFmtId="183" fontId="131" fillId="0" borderId="0" xfId="1106" applyNumberFormat="1" applyFont="1" applyAlignment="1" applyProtection="1">
      <alignment horizontal="center" vertical="center"/>
      <protection hidden="1"/>
    </xf>
    <xf numFmtId="183" fontId="130" fillId="0" borderId="0" xfId="1106" applyNumberFormat="1" applyFont="1" applyAlignment="1" applyProtection="1">
      <alignment horizontal="center" vertical="center"/>
      <protection locked="0"/>
    </xf>
    <xf numFmtId="0" fontId="99" fillId="0" borderId="0" xfId="1107" applyFont="1" applyAlignment="1" applyProtection="1">
      <alignment horizontal="center" vertical="center"/>
      <protection hidden="1"/>
    </xf>
    <xf numFmtId="177" fontId="130" fillId="0" borderId="0" xfId="1106" applyNumberFormat="1" applyFont="1" applyAlignment="1" applyProtection="1">
      <alignment horizontal="center" vertical="center"/>
      <protection locked="0"/>
    </xf>
    <xf numFmtId="177" fontId="131" fillId="0" borderId="0" xfId="1106" applyNumberFormat="1" applyFont="1" applyAlignment="1" applyProtection="1">
      <alignment horizontal="center" vertical="center"/>
      <protection hidden="1"/>
    </xf>
    <xf numFmtId="180" fontId="130" fillId="0" borderId="0" xfId="0" applyNumberFormat="1" applyFont="1" applyAlignment="1" applyProtection="1">
      <alignment horizontal="center" vertical="center"/>
      <protection locked="0"/>
    </xf>
    <xf numFmtId="209" fontId="131" fillId="0" borderId="0" xfId="0" applyNumberFormat="1" applyFont="1" applyAlignment="1" applyProtection="1">
      <alignment horizontal="center" vertical="center"/>
      <protection hidden="1"/>
    </xf>
    <xf numFmtId="180" fontId="131" fillId="0" borderId="0" xfId="0" applyNumberFormat="1" applyFont="1" applyAlignment="1" applyProtection="1">
      <alignment horizontal="center" vertical="center"/>
      <protection hidden="1"/>
    </xf>
    <xf numFmtId="0" fontId="131" fillId="0" borderId="0" xfId="0" applyFont="1" applyAlignment="1" applyProtection="1">
      <alignment horizontal="center" vertical="center"/>
      <protection hidden="1"/>
    </xf>
    <xf numFmtId="0" fontId="130" fillId="0" borderId="0" xfId="0" applyFont="1" applyAlignment="1" applyProtection="1">
      <alignment horizontal="center" vertical="center"/>
      <protection locked="0"/>
    </xf>
    <xf numFmtId="0" fontId="94" fillId="2" borderId="62" xfId="0" applyFont="1" applyFill="1" applyBorder="1" applyAlignment="1" applyProtection="1">
      <alignment horizontal="center" vertical="center"/>
      <protection hidden="1"/>
    </xf>
    <xf numFmtId="0" fontId="94" fillId="2" borderId="63" xfId="0" quotePrefix="1" applyFont="1" applyFill="1" applyBorder="1" applyAlignment="1" applyProtection="1">
      <alignment horizontal="center" vertical="center"/>
      <protection hidden="1"/>
    </xf>
    <xf numFmtId="0" fontId="94" fillId="2" borderId="63" xfId="0" applyFont="1" applyFill="1" applyBorder="1" applyAlignment="1" applyProtection="1">
      <alignment horizontal="center" vertical="center"/>
      <protection hidden="1"/>
    </xf>
    <xf numFmtId="0" fontId="94" fillId="2" borderId="64" xfId="0" applyFont="1" applyFill="1" applyBorder="1" applyAlignment="1" applyProtection="1">
      <alignment horizontal="center" vertical="center"/>
      <protection hidden="1"/>
    </xf>
    <xf numFmtId="0" fontId="94" fillId="34" borderId="69" xfId="0" applyFont="1" applyFill="1" applyBorder="1" applyAlignment="1" applyProtection="1">
      <alignment horizontal="center" vertical="center"/>
      <protection hidden="1"/>
    </xf>
    <xf numFmtId="0" fontId="94" fillId="34" borderId="70" xfId="0" quotePrefix="1" applyFont="1" applyFill="1" applyBorder="1" applyAlignment="1" applyProtection="1">
      <alignment horizontal="center" vertical="center"/>
      <protection hidden="1"/>
    </xf>
    <xf numFmtId="0" fontId="94" fillId="34" borderId="65" xfId="0" quotePrefix="1" applyFont="1" applyFill="1" applyBorder="1" applyAlignment="1" applyProtection="1">
      <alignment horizontal="center" vertical="center"/>
      <protection hidden="1"/>
    </xf>
    <xf numFmtId="0" fontId="94" fillId="34" borderId="61" xfId="0" quotePrefix="1" applyFont="1" applyFill="1" applyBorder="1" applyAlignment="1" applyProtection="1">
      <alignment horizontal="center" vertical="center"/>
      <protection hidden="1"/>
    </xf>
    <xf numFmtId="0" fontId="87" fillId="34" borderId="70" xfId="0" applyFont="1" applyFill="1" applyBorder="1" applyAlignment="1" applyProtection="1">
      <alignment horizontal="center" vertical="center"/>
      <protection hidden="1"/>
    </xf>
    <xf numFmtId="0" fontId="87" fillId="34" borderId="61" xfId="0" applyFont="1" applyFill="1" applyBorder="1" applyAlignment="1" applyProtection="1">
      <alignment horizontal="center" vertical="center"/>
      <protection hidden="1"/>
    </xf>
    <xf numFmtId="0" fontId="87" fillId="34" borderId="70" xfId="0" applyFont="1" applyFill="1" applyBorder="1" applyAlignment="1" applyProtection="1">
      <alignment horizontal="center" vertical="center" wrapText="1"/>
      <protection hidden="1"/>
    </xf>
    <xf numFmtId="0" fontId="94" fillId="34" borderId="70" xfId="0" applyFont="1" applyFill="1" applyBorder="1" applyAlignment="1" applyProtection="1">
      <alignment horizontal="center" vertical="center"/>
      <protection hidden="1"/>
    </xf>
    <xf numFmtId="0" fontId="94" fillId="34" borderId="71" xfId="0" applyFont="1" applyFill="1" applyBorder="1" applyAlignment="1" applyProtection="1">
      <alignment horizontal="center" vertical="center"/>
      <protection hidden="1"/>
    </xf>
    <xf numFmtId="0" fontId="94" fillId="34" borderId="61" xfId="0" applyFont="1" applyFill="1" applyBorder="1" applyAlignment="1" applyProtection="1">
      <alignment horizontal="center" vertical="center"/>
      <protection hidden="1"/>
    </xf>
    <xf numFmtId="0" fontId="94" fillId="34" borderId="66" xfId="0" applyFont="1" applyFill="1" applyBorder="1" applyAlignment="1" applyProtection="1">
      <alignment horizontal="center" vertical="center"/>
      <protection hidden="1"/>
    </xf>
    <xf numFmtId="0" fontId="87" fillId="34" borderId="61" xfId="0" applyFont="1" applyFill="1" applyBorder="1" applyAlignment="1" applyProtection="1">
      <alignment horizontal="center" vertical="center" wrapText="1"/>
      <protection hidden="1"/>
    </xf>
    <xf numFmtId="0" fontId="94" fillId="34" borderId="65" xfId="0" applyFont="1" applyFill="1" applyBorder="1" applyAlignment="1" applyProtection="1">
      <alignment horizontal="center" vertical="center"/>
      <protection hidden="1"/>
    </xf>
    <xf numFmtId="0" fontId="87" fillId="34" borderId="70" xfId="0" applyFont="1" applyFill="1" applyBorder="1" applyAlignment="1" applyProtection="1">
      <alignment horizontal="left" vertical="center" wrapText="1"/>
      <protection hidden="1"/>
    </xf>
    <xf numFmtId="0" fontId="87" fillId="34" borderId="61" xfId="0" applyFont="1" applyFill="1" applyBorder="1" applyAlignment="1" applyProtection="1">
      <alignment horizontal="left" vertical="center" wrapText="1"/>
      <protection hidden="1"/>
    </xf>
    <xf numFmtId="0" fontId="87" fillId="0" borderId="65" xfId="0" applyFont="1" applyBorder="1" applyAlignment="1" applyProtection="1">
      <alignment horizontal="center" vertical="center"/>
      <protection hidden="1"/>
    </xf>
    <xf numFmtId="0" fontId="87" fillId="0" borderId="61" xfId="0" applyFont="1" applyBorder="1" applyAlignment="1" applyProtection="1">
      <alignment horizontal="center" vertical="center"/>
      <protection hidden="1"/>
    </xf>
    <xf numFmtId="0" fontId="87" fillId="0" borderId="67" xfId="0" applyFont="1" applyBorder="1" applyAlignment="1" applyProtection="1">
      <alignment horizontal="center" vertical="center"/>
      <protection hidden="1"/>
    </xf>
    <xf numFmtId="0" fontId="87" fillId="0" borderId="22" xfId="0" applyFont="1" applyBorder="1" applyAlignment="1" applyProtection="1">
      <alignment horizontal="center" vertical="center"/>
      <protection hidden="1"/>
    </xf>
    <xf numFmtId="0" fontId="87" fillId="0" borderId="61" xfId="0" applyFont="1" applyBorder="1" applyAlignment="1" applyProtection="1">
      <alignment horizontal="left" vertical="center" wrapText="1"/>
      <protection hidden="1"/>
    </xf>
    <xf numFmtId="0" fontId="87" fillId="0" borderId="61" xfId="0" applyFont="1" applyBorder="1" applyAlignment="1" applyProtection="1">
      <alignment horizontal="left" vertical="center"/>
      <protection hidden="1"/>
    </xf>
    <xf numFmtId="0" fontId="87" fillId="0" borderId="22" xfId="0" applyFont="1" applyBorder="1" applyAlignment="1" applyProtection="1">
      <alignment horizontal="left" vertical="center"/>
      <protection hidden="1"/>
    </xf>
    <xf numFmtId="0" fontId="87" fillId="0" borderId="66" xfId="0" applyFont="1" applyBorder="1" applyAlignment="1" applyProtection="1">
      <alignment horizontal="center" vertical="center"/>
      <protection hidden="1"/>
    </xf>
    <xf numFmtId="0" fontId="87" fillId="0" borderId="68" xfId="0" applyFont="1" applyBorder="1" applyAlignment="1" applyProtection="1">
      <alignment horizontal="center" vertical="center"/>
      <protection hidden="1"/>
    </xf>
    <xf numFmtId="0" fontId="87" fillId="32" borderId="65" xfId="0" applyFont="1" applyFill="1" applyBorder="1" applyAlignment="1" applyProtection="1">
      <alignment horizontal="center" vertical="center"/>
      <protection hidden="1"/>
    </xf>
    <xf numFmtId="0" fontId="87" fillId="32" borderId="61" xfId="0" applyFont="1" applyFill="1" applyBorder="1" applyAlignment="1" applyProtection="1">
      <alignment horizontal="center" vertical="center"/>
      <protection hidden="1"/>
    </xf>
    <xf numFmtId="0" fontId="87" fillId="32" borderId="67" xfId="0" applyFont="1" applyFill="1" applyBorder="1" applyAlignment="1" applyProtection="1">
      <alignment horizontal="center" vertical="center"/>
      <protection hidden="1"/>
    </xf>
    <xf numFmtId="0" fontId="87" fillId="32" borderId="22" xfId="0" applyFont="1" applyFill="1" applyBorder="1" applyAlignment="1" applyProtection="1">
      <alignment horizontal="center" vertical="center"/>
      <protection hidden="1"/>
    </xf>
    <xf numFmtId="0" fontId="87" fillId="32" borderId="66" xfId="0" applyFont="1" applyFill="1" applyBorder="1" applyAlignment="1" applyProtection="1">
      <alignment horizontal="center" vertical="center"/>
      <protection hidden="1"/>
    </xf>
    <xf numFmtId="0" fontId="87" fillId="32" borderId="68" xfId="0" applyFont="1" applyFill="1" applyBorder="1" applyAlignment="1" applyProtection="1">
      <alignment horizontal="center" vertical="center"/>
      <protection hidden="1"/>
    </xf>
    <xf numFmtId="0" fontId="94" fillId="3" borderId="62" xfId="0" applyFont="1" applyFill="1" applyBorder="1" applyAlignment="1" applyProtection="1">
      <alignment horizontal="center" vertical="center"/>
      <protection hidden="1"/>
    </xf>
    <xf numFmtId="0" fontId="94" fillId="3" borderId="63" xfId="0" applyFont="1" applyFill="1" applyBorder="1" applyAlignment="1" applyProtection="1">
      <alignment horizontal="center" vertical="center"/>
      <protection hidden="1"/>
    </xf>
    <xf numFmtId="0" fontId="94" fillId="3" borderId="65" xfId="0" applyFont="1" applyFill="1" applyBorder="1" applyAlignment="1" applyProtection="1">
      <alignment horizontal="center" vertical="center"/>
      <protection hidden="1"/>
    </xf>
    <xf numFmtId="0" fontId="94" fillId="3" borderId="61" xfId="0" applyFont="1" applyFill="1" applyBorder="1" applyAlignment="1" applyProtection="1">
      <alignment horizontal="center" vertical="center"/>
      <protection hidden="1"/>
    </xf>
    <xf numFmtId="0" fontId="94" fillId="3" borderId="64" xfId="0" applyFont="1" applyFill="1" applyBorder="1" applyAlignment="1" applyProtection="1">
      <alignment horizontal="center" vertical="center"/>
      <protection hidden="1"/>
    </xf>
    <xf numFmtId="0" fontId="94" fillId="3" borderId="66" xfId="0" applyFont="1" applyFill="1" applyBorder="1" applyAlignment="1" applyProtection="1">
      <alignment horizontal="center" vertical="center"/>
      <protection hidden="1"/>
    </xf>
    <xf numFmtId="0" fontId="87" fillId="32" borderId="77" xfId="0" applyFont="1" applyFill="1" applyBorder="1" applyAlignment="1" applyProtection="1">
      <alignment horizontal="center" vertical="center"/>
      <protection hidden="1"/>
    </xf>
    <xf numFmtId="0" fontId="87" fillId="32" borderId="78" xfId="0" applyFont="1" applyFill="1" applyBorder="1" applyAlignment="1" applyProtection="1">
      <alignment horizontal="center" vertical="center"/>
      <protection hidden="1"/>
    </xf>
    <xf numFmtId="0" fontId="94" fillId="34" borderId="78" xfId="0" applyFont="1" applyFill="1" applyBorder="1" applyAlignment="1" applyProtection="1">
      <alignment horizontal="center" vertical="center"/>
      <protection hidden="1"/>
    </xf>
    <xf numFmtId="176" fontId="87" fillId="32" borderId="78" xfId="0" applyNumberFormat="1" applyFont="1" applyFill="1" applyBorder="1" applyAlignment="1" applyProtection="1">
      <alignment horizontal="center" vertical="center"/>
      <protection hidden="1"/>
    </xf>
    <xf numFmtId="176" fontId="94" fillId="34" borderId="78" xfId="0" applyNumberFormat="1" applyFont="1" applyFill="1" applyBorder="1" applyAlignment="1" applyProtection="1">
      <alignment horizontal="center" vertical="center"/>
      <protection hidden="1"/>
    </xf>
    <xf numFmtId="176" fontId="87" fillId="32" borderId="79" xfId="0" applyNumberFormat="1" applyFont="1" applyFill="1" applyBorder="1" applyAlignment="1" applyProtection="1">
      <alignment horizontal="center" vertical="center"/>
      <protection hidden="1"/>
    </xf>
    <xf numFmtId="212" fontId="97" fillId="0" borderId="0" xfId="0" applyNumberFormat="1" applyFont="1" applyAlignment="1" applyProtection="1">
      <alignment horizontal="center" vertical="center"/>
      <protection hidden="1"/>
    </xf>
    <xf numFmtId="0" fontId="93" fillId="0" borderId="65" xfId="0" applyFont="1" applyBorder="1" applyAlignment="1" applyProtection="1">
      <alignment horizontal="center" vertical="center"/>
      <protection locked="0"/>
    </xf>
    <xf numFmtId="0" fontId="93" fillId="0" borderId="61" xfId="0" applyFont="1" applyBorder="1" applyAlignment="1" applyProtection="1">
      <alignment horizontal="center" vertical="center"/>
      <protection locked="0"/>
    </xf>
    <xf numFmtId="0" fontId="93" fillId="0" borderId="69" xfId="0" applyFont="1" applyBorder="1" applyAlignment="1" applyProtection="1">
      <alignment horizontal="center" vertical="center"/>
      <protection locked="0"/>
    </xf>
    <xf numFmtId="0" fontId="93" fillId="0" borderId="70" xfId="0" applyFont="1" applyBorder="1" applyAlignment="1" applyProtection="1">
      <alignment horizontal="center" vertical="center"/>
      <protection locked="0"/>
    </xf>
    <xf numFmtId="178" fontId="93" fillId="0" borderId="74" xfId="0" applyNumberFormat="1" applyFont="1" applyBorder="1" applyAlignment="1" applyProtection="1">
      <alignment horizontal="center" vertical="center"/>
      <protection locked="0"/>
    </xf>
    <xf numFmtId="178" fontId="93" fillId="0" borderId="10" xfId="0" applyNumberFormat="1" applyFont="1" applyBorder="1" applyAlignment="1" applyProtection="1">
      <alignment horizontal="center" vertical="center"/>
      <protection locked="0"/>
    </xf>
    <xf numFmtId="178" fontId="93" fillId="0" borderId="75" xfId="0" applyNumberFormat="1" applyFont="1" applyBorder="1" applyAlignment="1" applyProtection="1">
      <alignment horizontal="center" vertical="center"/>
      <protection locked="0"/>
    </xf>
    <xf numFmtId="178" fontId="93" fillId="0" borderId="83" xfId="0" applyNumberFormat="1" applyFont="1" applyBorder="1" applyAlignment="1" applyProtection="1">
      <alignment horizontal="center" vertical="center"/>
      <protection locked="0"/>
    </xf>
    <xf numFmtId="178" fontId="93" fillId="0" borderId="84" xfId="0" applyNumberFormat="1" applyFont="1" applyBorder="1" applyAlignment="1" applyProtection="1">
      <alignment horizontal="center" vertical="center"/>
      <protection locked="0"/>
    </xf>
    <xf numFmtId="178" fontId="93" fillId="0" borderId="85" xfId="0" applyNumberFormat="1" applyFont="1" applyBorder="1" applyAlignment="1" applyProtection="1">
      <alignment horizontal="center" vertical="center"/>
      <protection locked="0"/>
    </xf>
    <xf numFmtId="180" fontId="86" fillId="0" borderId="83" xfId="0" applyNumberFormat="1" applyFont="1" applyBorder="1" applyAlignment="1" applyProtection="1">
      <alignment horizontal="center" vertical="center"/>
      <protection hidden="1"/>
    </xf>
    <xf numFmtId="180" fontId="86" fillId="0" borderId="84" xfId="0" applyNumberFormat="1" applyFont="1" applyBorder="1" applyAlignment="1" applyProtection="1">
      <alignment horizontal="center" vertical="center"/>
      <protection hidden="1"/>
    </xf>
    <xf numFmtId="180" fontId="86" fillId="0" borderId="85" xfId="0" applyNumberFormat="1" applyFont="1" applyBorder="1" applyAlignment="1" applyProtection="1">
      <alignment horizontal="center" vertical="center"/>
      <protection hidden="1"/>
    </xf>
    <xf numFmtId="0" fontId="85" fillId="3" borderId="82" xfId="0" applyFont="1" applyFill="1" applyBorder="1" applyAlignment="1" applyProtection="1">
      <alignment horizontal="center" vertical="center" wrapText="1"/>
      <protection hidden="1"/>
    </xf>
    <xf numFmtId="0" fontId="94" fillId="3" borderId="80" xfId="0" applyFont="1" applyFill="1" applyBorder="1" applyAlignment="1" applyProtection="1">
      <alignment horizontal="center" vertical="center"/>
      <protection hidden="1"/>
    </xf>
    <xf numFmtId="0" fontId="94" fillId="3" borderId="82" xfId="0" applyFont="1" applyFill="1" applyBorder="1" applyAlignment="1" applyProtection="1">
      <alignment horizontal="center" vertical="center"/>
      <protection hidden="1"/>
    </xf>
    <xf numFmtId="176" fontId="87" fillId="0" borderId="73" xfId="0" applyNumberFormat="1" applyFont="1" applyBorder="1" applyAlignment="1" applyProtection="1">
      <alignment horizontal="center" vertical="center"/>
      <protection hidden="1"/>
    </xf>
    <xf numFmtId="176" fontId="87" fillId="0" borderId="72" xfId="0" applyNumberFormat="1" applyFont="1" applyBorder="1" applyAlignment="1" applyProtection="1">
      <alignment horizontal="center" vertical="center"/>
      <protection hidden="1"/>
    </xf>
    <xf numFmtId="176" fontId="87" fillId="0" borderId="83" xfId="0" applyNumberFormat="1" applyFont="1" applyBorder="1" applyAlignment="1" applyProtection="1">
      <alignment horizontal="center" vertical="center"/>
      <protection hidden="1"/>
    </xf>
    <xf numFmtId="176" fontId="87" fillId="0" borderId="85" xfId="0" applyNumberFormat="1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7" fillId="0" borderId="6" xfId="0" applyFont="1" applyBorder="1" applyAlignment="1" applyProtection="1">
      <alignment horizontal="center" vertical="center"/>
      <protection hidden="1"/>
    </xf>
    <xf numFmtId="0" fontId="87" fillId="0" borderId="84" xfId="0" applyFont="1" applyBorder="1" applyAlignment="1" applyProtection="1">
      <alignment horizontal="center" vertical="center"/>
      <protection hidden="1"/>
    </xf>
    <xf numFmtId="0" fontId="87" fillId="0" borderId="92" xfId="0" applyFont="1" applyBorder="1" applyAlignment="1" applyProtection="1">
      <alignment horizontal="center" vertical="center"/>
      <protection hidden="1"/>
    </xf>
    <xf numFmtId="215" fontId="96" fillId="0" borderId="0" xfId="0" applyNumberFormat="1" applyFont="1" applyAlignment="1" applyProtection="1">
      <alignment horizontal="center" vertical="center"/>
      <protection hidden="1"/>
    </xf>
    <xf numFmtId="178" fontId="96" fillId="0" borderId="0" xfId="0" applyNumberFormat="1" applyFont="1" applyAlignment="1" applyProtection="1">
      <alignment horizontal="center" vertical="center"/>
      <protection hidden="1"/>
    </xf>
    <xf numFmtId="0" fontId="94" fillId="2" borderId="65" xfId="0" applyFont="1" applyFill="1" applyBorder="1" applyAlignment="1" applyProtection="1">
      <alignment horizontal="center" vertical="center"/>
      <protection hidden="1"/>
    </xf>
    <xf numFmtId="0" fontId="94" fillId="2" borderId="61" xfId="0" applyFont="1" applyFill="1" applyBorder="1" applyAlignment="1" applyProtection="1">
      <alignment horizontal="center" vertical="center"/>
      <protection hidden="1"/>
    </xf>
    <xf numFmtId="0" fontId="94" fillId="2" borderId="63" xfId="0" applyFont="1" applyFill="1" applyBorder="1" applyAlignment="1" applyProtection="1">
      <alignment horizontal="center" vertical="center" wrapText="1"/>
      <protection hidden="1"/>
    </xf>
    <xf numFmtId="0" fontId="94" fillId="2" borderId="61" xfId="0" applyFont="1" applyFill="1" applyBorder="1" applyAlignment="1" applyProtection="1">
      <alignment horizontal="center" vertical="center" wrapText="1"/>
      <protection hidden="1"/>
    </xf>
    <xf numFmtId="0" fontId="94" fillId="2" borderId="66" xfId="0" applyFont="1" applyFill="1" applyBorder="1" applyAlignment="1" applyProtection="1">
      <alignment horizontal="center" vertical="center"/>
      <protection hidden="1"/>
    </xf>
    <xf numFmtId="0" fontId="93" fillId="0" borderId="0" xfId="0" applyFont="1" applyAlignment="1" applyProtection="1">
      <alignment horizontal="center" vertical="center"/>
      <protection hidden="1"/>
    </xf>
    <xf numFmtId="0" fontId="93" fillId="0" borderId="67" xfId="0" applyFont="1" applyBorder="1" applyAlignment="1" applyProtection="1">
      <alignment horizontal="center" vertical="center"/>
      <protection locked="0"/>
    </xf>
    <xf numFmtId="0" fontId="93" fillId="0" borderId="22" xfId="0" applyFont="1" applyBorder="1" applyAlignment="1" applyProtection="1">
      <alignment horizontal="center" vertical="center"/>
      <protection locked="0"/>
    </xf>
    <xf numFmtId="178" fontId="93" fillId="0" borderId="86" xfId="0" applyNumberFormat="1" applyFont="1" applyBorder="1" applyAlignment="1" applyProtection="1">
      <alignment horizontal="center" vertical="center"/>
      <protection locked="0"/>
    </xf>
    <xf numFmtId="178" fontId="93" fillId="0" borderId="87" xfId="0" applyNumberFormat="1" applyFont="1" applyBorder="1" applyAlignment="1" applyProtection="1">
      <alignment horizontal="center" vertical="center"/>
      <protection locked="0"/>
    </xf>
    <xf numFmtId="178" fontId="93" fillId="0" borderId="88" xfId="0" applyNumberFormat="1" applyFont="1" applyBorder="1" applyAlignment="1" applyProtection="1">
      <alignment horizontal="center" vertical="center"/>
      <protection locked="0"/>
    </xf>
    <xf numFmtId="180" fontId="86" fillId="0" borderId="86" xfId="0" applyNumberFormat="1" applyFont="1" applyBorder="1" applyAlignment="1" applyProtection="1">
      <alignment horizontal="center" vertical="center"/>
      <protection hidden="1"/>
    </xf>
    <xf numFmtId="180" fontId="86" fillId="0" borderId="87" xfId="0" applyNumberFormat="1" applyFont="1" applyBorder="1" applyAlignment="1" applyProtection="1">
      <alignment horizontal="center" vertical="center"/>
      <protection hidden="1"/>
    </xf>
    <xf numFmtId="180" fontId="86" fillId="0" borderId="88" xfId="0" applyNumberFormat="1" applyFont="1" applyBorder="1" applyAlignment="1" applyProtection="1">
      <alignment horizontal="center" vertical="center"/>
      <protection hidden="1"/>
    </xf>
    <xf numFmtId="176" fontId="87" fillId="0" borderId="89" xfId="0" applyNumberFormat="1" applyFont="1" applyBorder="1" applyAlignment="1" applyProtection="1">
      <alignment horizontal="center" vertical="center"/>
      <protection hidden="1"/>
    </xf>
    <xf numFmtId="176" fontId="87" fillId="0" borderId="91" xfId="0" applyNumberFormat="1" applyFont="1" applyBorder="1" applyAlignment="1" applyProtection="1">
      <alignment horizontal="center" vertical="center"/>
      <protection hidden="1"/>
    </xf>
    <xf numFmtId="0" fontId="87" fillId="0" borderId="2" xfId="0" applyFont="1" applyBorder="1" applyAlignment="1" applyProtection="1">
      <alignment horizontal="center" vertical="center"/>
      <protection hidden="1"/>
    </xf>
    <xf numFmtId="0" fontId="87" fillId="0" borderId="8" xfId="0" applyFont="1" applyBorder="1" applyAlignment="1" applyProtection="1">
      <alignment horizontal="center" vertical="center"/>
      <protection hidden="1"/>
    </xf>
    <xf numFmtId="0" fontId="87" fillId="0" borderId="94" xfId="0" applyFont="1" applyBorder="1" applyAlignment="1" applyProtection="1">
      <alignment horizontal="center" vertical="center"/>
      <protection hidden="1"/>
    </xf>
    <xf numFmtId="0" fontId="87" fillId="0" borderId="95" xfId="0" applyFont="1" applyBorder="1" applyAlignment="1" applyProtection="1">
      <alignment horizontal="center" vertical="center"/>
      <protection hidden="1"/>
    </xf>
    <xf numFmtId="0" fontId="87" fillId="0" borderId="98" xfId="0" applyFont="1" applyBorder="1" applyAlignment="1" applyProtection="1">
      <alignment horizontal="center" vertical="center"/>
      <protection hidden="1"/>
    </xf>
    <xf numFmtId="182" fontId="87" fillId="0" borderId="22" xfId="0" applyNumberFormat="1" applyFont="1" applyBorder="1" applyAlignment="1" applyProtection="1">
      <alignment horizontal="center" vertical="center"/>
      <protection hidden="1"/>
    </xf>
    <xf numFmtId="178" fontId="87" fillId="0" borderId="22" xfId="0" applyNumberFormat="1" applyFont="1" applyBorder="1" applyAlignment="1" applyProtection="1">
      <alignment horizontal="center" vertical="center"/>
      <protection hidden="1"/>
    </xf>
    <xf numFmtId="179" fontId="87" fillId="0" borderId="22" xfId="0" applyNumberFormat="1" applyFont="1" applyBorder="1" applyAlignment="1" applyProtection="1">
      <alignment horizontal="center" vertical="center"/>
      <protection hidden="1"/>
    </xf>
    <xf numFmtId="177" fontId="87" fillId="0" borderId="22" xfId="0" applyNumberFormat="1" applyFont="1" applyBorder="1" applyAlignment="1" applyProtection="1">
      <alignment horizontal="center" vertical="center"/>
      <protection hidden="1"/>
    </xf>
    <xf numFmtId="177" fontId="87" fillId="0" borderId="68" xfId="0" applyNumberFormat="1" applyFont="1" applyBorder="1" applyAlignment="1" applyProtection="1">
      <alignment horizontal="center" vertical="center"/>
      <protection hidden="1"/>
    </xf>
    <xf numFmtId="0" fontId="87" fillId="0" borderId="69" xfId="0" applyFont="1" applyBorder="1" applyAlignment="1" applyProtection="1">
      <alignment horizontal="center" vertical="center"/>
      <protection hidden="1"/>
    </xf>
    <xf numFmtId="0" fontId="87" fillId="0" borderId="70" xfId="0" applyFont="1" applyBorder="1" applyAlignment="1" applyProtection="1">
      <alignment horizontal="center" vertical="center"/>
      <protection hidden="1"/>
    </xf>
    <xf numFmtId="182" fontId="87" fillId="0" borderId="70" xfId="0" applyNumberFormat="1" applyFont="1" applyBorder="1" applyAlignment="1" applyProtection="1">
      <alignment horizontal="center" vertical="center"/>
      <protection hidden="1"/>
    </xf>
    <xf numFmtId="178" fontId="87" fillId="0" borderId="70" xfId="0" applyNumberFormat="1" applyFont="1" applyBorder="1" applyAlignment="1" applyProtection="1">
      <alignment horizontal="center" vertical="center"/>
      <protection hidden="1"/>
    </xf>
    <xf numFmtId="179" fontId="87" fillId="0" borderId="70" xfId="0" applyNumberFormat="1" applyFont="1" applyBorder="1" applyAlignment="1" applyProtection="1">
      <alignment horizontal="center" vertical="center"/>
      <protection hidden="1"/>
    </xf>
    <xf numFmtId="177" fontId="87" fillId="0" borderId="70" xfId="0" applyNumberFormat="1" applyFont="1" applyBorder="1" applyAlignment="1" applyProtection="1">
      <alignment horizontal="center" vertical="center"/>
      <protection hidden="1"/>
    </xf>
    <xf numFmtId="177" fontId="87" fillId="0" borderId="71" xfId="0" applyNumberFormat="1" applyFont="1" applyBorder="1" applyAlignment="1" applyProtection="1">
      <alignment horizontal="center" vertical="center"/>
      <protection hidden="1"/>
    </xf>
    <xf numFmtId="182" fontId="87" fillId="0" borderId="61" xfId="0" applyNumberFormat="1" applyFont="1" applyBorder="1" applyAlignment="1" applyProtection="1">
      <alignment horizontal="center" vertical="center"/>
      <protection hidden="1"/>
    </xf>
    <xf numFmtId="179" fontId="87" fillId="0" borderId="61" xfId="0" applyNumberFormat="1" applyFont="1" applyBorder="1" applyAlignment="1" applyProtection="1">
      <alignment horizontal="center" vertical="center"/>
      <protection hidden="1"/>
    </xf>
    <xf numFmtId="177" fontId="87" fillId="0" borderId="61" xfId="0" applyNumberFormat="1" applyFont="1" applyBorder="1" applyAlignment="1" applyProtection="1">
      <alignment horizontal="center" vertical="center"/>
      <protection hidden="1"/>
    </xf>
    <xf numFmtId="177" fontId="87" fillId="0" borderId="66" xfId="0" applyNumberFormat="1" applyFont="1" applyBorder="1" applyAlignment="1" applyProtection="1">
      <alignment horizontal="center" vertical="center"/>
      <protection hidden="1"/>
    </xf>
    <xf numFmtId="0" fontId="87" fillId="32" borderId="69" xfId="0" applyFont="1" applyFill="1" applyBorder="1" applyAlignment="1" applyProtection="1">
      <alignment horizontal="center" vertical="center"/>
      <protection hidden="1"/>
    </xf>
    <xf numFmtId="0" fontId="87" fillId="32" borderId="70" xfId="0" applyFont="1" applyFill="1" applyBorder="1" applyAlignment="1" applyProtection="1">
      <alignment horizontal="center" vertical="center"/>
      <protection hidden="1"/>
    </xf>
    <xf numFmtId="0" fontId="87" fillId="32" borderId="71" xfId="0" applyFont="1" applyFill="1" applyBorder="1" applyAlignment="1" applyProtection="1">
      <alignment horizontal="center" vertical="center"/>
      <protection hidden="1"/>
    </xf>
    <xf numFmtId="0" fontId="96" fillId="0" borderId="0" xfId="0" applyFont="1" applyAlignment="1" applyProtection="1">
      <alignment horizontal="center" vertical="center"/>
      <protection hidden="1"/>
    </xf>
    <xf numFmtId="177" fontId="87" fillId="0" borderId="0" xfId="0" applyNumberFormat="1" applyFont="1" applyAlignment="1" applyProtection="1">
      <alignment horizontal="center" vertical="center"/>
      <protection hidden="1"/>
    </xf>
    <xf numFmtId="178" fontId="87" fillId="0" borderId="0" xfId="0" applyNumberFormat="1" applyFont="1" applyAlignment="1" applyProtection="1">
      <alignment horizontal="center" vertical="center"/>
      <protection hidden="1"/>
    </xf>
    <xf numFmtId="0" fontId="87" fillId="0" borderId="11" xfId="0" applyFont="1" applyBorder="1" applyAlignment="1" applyProtection="1">
      <alignment horizontal="center" vertical="center"/>
      <protection hidden="1"/>
    </xf>
    <xf numFmtId="176" fontId="87" fillId="0" borderId="10" xfId="0" applyNumberFormat="1" applyFont="1" applyBorder="1" applyAlignment="1" applyProtection="1">
      <alignment horizontal="center" vertical="center"/>
      <protection hidden="1"/>
    </xf>
    <xf numFmtId="0" fontId="91" fillId="0" borderId="0" xfId="0" quotePrefix="1" applyFont="1" applyAlignment="1" applyProtection="1">
      <alignment horizontal="center" vertical="center"/>
      <protection hidden="1"/>
    </xf>
    <xf numFmtId="176" fontId="87" fillId="0" borderId="0" xfId="0" applyNumberFormat="1" applyFont="1" applyAlignment="1" applyProtection="1">
      <alignment horizontal="center" vertical="center"/>
      <protection hidden="1"/>
    </xf>
    <xf numFmtId="0" fontId="87" fillId="0" borderId="0" xfId="0" quotePrefix="1" applyFont="1" applyAlignment="1" applyProtection="1">
      <alignment horizontal="center" vertical="center"/>
      <protection hidden="1"/>
    </xf>
    <xf numFmtId="176" fontId="87" fillId="0" borderId="70" xfId="0" applyNumberFormat="1" applyFont="1" applyBorder="1" applyAlignment="1" applyProtection="1">
      <alignment horizontal="center" vertical="center"/>
      <protection hidden="1"/>
    </xf>
    <xf numFmtId="0" fontId="87" fillId="0" borderId="71" xfId="0" applyFont="1" applyBorder="1" applyAlignment="1" applyProtection="1">
      <alignment horizontal="center" vertical="center"/>
      <protection hidden="1"/>
    </xf>
    <xf numFmtId="176" fontId="87" fillId="0" borderId="61" xfId="0" applyNumberFormat="1" applyFont="1" applyBorder="1" applyAlignment="1" applyProtection="1">
      <alignment horizontal="center" vertical="center"/>
      <protection hidden="1"/>
    </xf>
    <xf numFmtId="176" fontId="87" fillId="0" borderId="22" xfId="0" applyNumberFormat="1" applyFont="1" applyBorder="1" applyAlignment="1" applyProtection="1">
      <alignment horizontal="center" vertical="center"/>
      <protection hidden="1"/>
    </xf>
    <xf numFmtId="179" fontId="87" fillId="0" borderId="0" xfId="0" applyNumberFormat="1" applyFont="1" applyAlignment="1" applyProtection="1">
      <alignment horizontal="center" vertical="center"/>
      <protection hidden="1"/>
    </xf>
    <xf numFmtId="0" fontId="122" fillId="0" borderId="0" xfId="0" applyFont="1" applyAlignment="1" applyProtection="1">
      <alignment horizontal="center" vertical="center"/>
      <protection hidden="1"/>
    </xf>
    <xf numFmtId="176" fontId="87" fillId="0" borderId="0" xfId="0" quotePrefix="1" applyNumberFormat="1" applyFont="1" applyAlignment="1" applyProtection="1">
      <alignment horizontal="center" vertical="center"/>
      <protection hidden="1"/>
    </xf>
    <xf numFmtId="177" fontId="87" fillId="0" borderId="10" xfId="0" applyNumberFormat="1" applyFont="1" applyBorder="1" applyAlignment="1" applyProtection="1">
      <alignment horizontal="center" vertical="center"/>
      <protection hidden="1"/>
    </xf>
    <xf numFmtId="0" fontId="91" fillId="0" borderId="0" xfId="0" applyFont="1" applyAlignment="1" applyProtection="1">
      <alignment horizontal="center" vertical="center"/>
      <protection hidden="1"/>
    </xf>
    <xf numFmtId="177" fontId="87" fillId="0" borderId="0" xfId="0" applyNumberFormat="1" applyFont="1" applyProtection="1">
      <alignment vertical="center"/>
      <protection hidden="1"/>
    </xf>
    <xf numFmtId="0" fontId="87" fillId="0" borderId="0" xfId="0" applyFont="1" applyProtection="1">
      <alignment vertical="center"/>
      <protection hidden="1"/>
    </xf>
    <xf numFmtId="0" fontId="98" fillId="0" borderId="0" xfId="0" applyFont="1" applyAlignment="1" applyProtection="1">
      <alignment horizontal="center" vertical="center"/>
      <protection hidden="1"/>
    </xf>
    <xf numFmtId="177" fontId="87" fillId="0" borderId="0" xfId="0" quotePrefix="1" applyNumberFormat="1" applyFont="1" applyAlignment="1" applyProtection="1">
      <alignment horizontal="center" vertical="center"/>
      <protection hidden="1"/>
    </xf>
    <xf numFmtId="209" fontId="87" fillId="0" borderId="0" xfId="0" quotePrefix="1" applyNumberFormat="1" applyFont="1" applyAlignment="1" applyProtection="1">
      <alignment horizontal="center" vertical="center"/>
      <protection hidden="1"/>
    </xf>
    <xf numFmtId="217" fontId="87" fillId="0" borderId="0" xfId="0" applyNumberFormat="1" applyFont="1" applyAlignment="1" applyProtection="1">
      <alignment horizontal="center" vertical="center"/>
      <protection hidden="1"/>
    </xf>
    <xf numFmtId="182" fontId="87" fillId="0" borderId="0" xfId="0" applyNumberFormat="1" applyFont="1" applyAlignment="1" applyProtection="1">
      <alignment horizontal="center" vertical="center"/>
      <protection hidden="1"/>
    </xf>
    <xf numFmtId="209" fontId="87" fillId="0" borderId="0" xfId="0" applyNumberFormat="1" applyFont="1" applyAlignment="1" applyProtection="1">
      <alignment horizontal="center" vertical="center"/>
      <protection hidden="1"/>
    </xf>
    <xf numFmtId="208" fontId="87" fillId="0" borderId="0" xfId="0" applyNumberFormat="1" applyFont="1" applyAlignment="1" applyProtection="1">
      <alignment horizontal="center" vertical="center"/>
      <protection hidden="1"/>
    </xf>
    <xf numFmtId="178" fontId="87" fillId="0" borderId="77" xfId="0" applyNumberFormat="1" applyFont="1" applyBorder="1" applyAlignment="1" applyProtection="1">
      <alignment horizontal="center" vertical="center"/>
      <protection hidden="1"/>
    </xf>
    <xf numFmtId="178" fontId="87" fillId="0" borderId="78" xfId="0" applyNumberFormat="1" applyFont="1" applyBorder="1" applyAlignment="1" applyProtection="1">
      <alignment horizontal="center" vertical="center"/>
      <protection hidden="1"/>
    </xf>
    <xf numFmtId="177" fontId="87" fillId="0" borderId="78" xfId="0" applyNumberFormat="1" applyFont="1" applyBorder="1" applyAlignment="1" applyProtection="1">
      <alignment horizontal="center" vertical="center"/>
      <protection hidden="1"/>
    </xf>
    <xf numFmtId="0" fontId="87" fillId="0" borderId="78" xfId="0" applyFont="1" applyBorder="1" applyAlignment="1" applyProtection="1">
      <alignment horizontal="center" vertical="center"/>
      <protection hidden="1"/>
    </xf>
    <xf numFmtId="0" fontId="87" fillId="0" borderId="79" xfId="0" applyFont="1" applyBorder="1" applyAlignment="1" applyProtection="1">
      <alignment horizontal="center" vertical="center"/>
      <protection hidden="1"/>
    </xf>
    <xf numFmtId="0" fontId="87" fillId="0" borderId="77" xfId="0" applyFont="1" applyBorder="1" applyAlignment="1" applyProtection="1">
      <alignment horizontal="center" vertical="center"/>
      <protection hidden="1"/>
    </xf>
    <xf numFmtId="178" fontId="87" fillId="0" borderId="79" xfId="0" applyNumberFormat="1" applyFont="1" applyBorder="1" applyAlignment="1" applyProtection="1">
      <alignment horizontal="center" vertical="center"/>
      <protection hidden="1"/>
    </xf>
    <xf numFmtId="0" fontId="94" fillId="3" borderId="63" xfId="0" applyFont="1" applyFill="1" applyBorder="1" applyAlignment="1" applyProtection="1">
      <alignment horizontal="center" vertical="center" wrapText="1"/>
      <protection hidden="1"/>
    </xf>
    <xf numFmtId="0" fontId="87" fillId="0" borderId="9" xfId="0" applyFont="1" applyBorder="1" applyAlignment="1" applyProtection="1">
      <alignment horizontal="center" vertical="center"/>
      <protection hidden="1"/>
    </xf>
    <xf numFmtId="0" fontId="87" fillId="0" borderId="7" xfId="0" applyFont="1" applyBorder="1" applyAlignment="1" applyProtection="1">
      <alignment horizontal="center" vertical="center"/>
      <protection hidden="1"/>
    </xf>
    <xf numFmtId="0" fontId="87" fillId="0" borderId="32" xfId="0" applyFont="1" applyBorder="1" applyAlignment="1" applyProtection="1">
      <alignment horizontal="center" vertical="center"/>
      <protection hidden="1"/>
    </xf>
    <xf numFmtId="0" fontId="87" fillId="0" borderId="35" xfId="0" applyFont="1" applyBorder="1" applyAlignment="1" applyProtection="1">
      <alignment horizontal="center" vertical="center"/>
      <protection hidden="1"/>
    </xf>
    <xf numFmtId="0" fontId="87" fillId="0" borderId="37" xfId="0" applyFont="1" applyBorder="1" applyAlignment="1" applyProtection="1">
      <alignment horizontal="center" vertical="center"/>
      <protection hidden="1"/>
    </xf>
    <xf numFmtId="0" fontId="87" fillId="0" borderId="34" xfId="0" applyFont="1" applyBorder="1" applyAlignment="1" applyProtection="1">
      <alignment horizontal="center" vertical="center"/>
      <protection hidden="1"/>
    </xf>
    <xf numFmtId="0" fontId="87" fillId="0" borderId="73" xfId="0" applyFont="1" applyBorder="1" applyAlignment="1" applyProtection="1">
      <alignment horizontal="center" vertical="center"/>
      <protection hidden="1"/>
    </xf>
    <xf numFmtId="0" fontId="87" fillId="0" borderId="72" xfId="0" applyFont="1" applyBorder="1" applyAlignment="1" applyProtection="1">
      <alignment horizontal="center" vertical="center"/>
      <protection hidden="1"/>
    </xf>
    <xf numFmtId="0" fontId="87" fillId="34" borderId="22" xfId="0" applyFont="1" applyFill="1" applyBorder="1" applyAlignment="1" applyProtection="1">
      <alignment horizontal="center" vertical="center"/>
      <protection hidden="1"/>
    </xf>
    <xf numFmtId="0" fontId="87" fillId="34" borderId="68" xfId="0" applyFont="1" applyFill="1" applyBorder="1" applyAlignment="1" applyProtection="1">
      <alignment horizontal="center" vertical="center"/>
      <protection hidden="1"/>
    </xf>
    <xf numFmtId="178" fontId="87" fillId="0" borderId="0" xfId="0" applyNumberFormat="1" applyFont="1" applyAlignment="1" applyProtection="1">
      <alignment horizontal="left" vertical="center"/>
      <protection hidden="1"/>
    </xf>
    <xf numFmtId="178" fontId="87" fillId="0" borderId="6" xfId="0" applyNumberFormat="1" applyFont="1" applyBorder="1" applyAlignment="1" applyProtection="1">
      <alignment horizontal="left" vertical="center"/>
      <protection hidden="1"/>
    </xf>
    <xf numFmtId="0" fontId="87" fillId="34" borderId="66" xfId="0" applyFont="1" applyFill="1" applyBorder="1" applyAlignment="1" applyProtection="1">
      <alignment horizontal="center" vertical="center"/>
      <protection hidden="1"/>
    </xf>
    <xf numFmtId="0" fontId="87" fillId="0" borderId="61" xfId="0" applyFont="1" applyBorder="1" applyAlignment="1" applyProtection="1">
      <alignment horizontal="left" vertical="center" indent="1"/>
      <protection hidden="1"/>
    </xf>
    <xf numFmtId="0" fontId="87" fillId="0" borderId="22" xfId="0" applyFont="1" applyBorder="1" applyAlignment="1" applyProtection="1">
      <alignment horizontal="left" vertical="center" indent="1"/>
      <protection hidden="1"/>
    </xf>
    <xf numFmtId="0" fontId="87" fillId="0" borderId="70" xfId="0" applyFont="1" applyBorder="1" applyAlignment="1" applyProtection="1">
      <alignment horizontal="left" vertical="center" indent="1"/>
      <protection hidden="1"/>
    </xf>
    <xf numFmtId="179" fontId="136" fillId="0" borderId="0" xfId="0" applyNumberFormat="1" applyFont="1" applyAlignment="1" applyProtection="1">
      <alignment horizontal="center" vertical="center"/>
      <protection hidden="1"/>
    </xf>
    <xf numFmtId="183" fontId="136" fillId="0" borderId="0" xfId="0" applyNumberFormat="1" applyFont="1" applyAlignment="1" applyProtection="1">
      <alignment horizontal="center" vertical="center"/>
      <protection hidden="1"/>
    </xf>
    <xf numFmtId="182" fontId="136" fillId="0" borderId="0" xfId="0" applyNumberFormat="1" applyFont="1" applyAlignment="1" applyProtection="1">
      <alignment horizontal="center" vertical="center"/>
      <protection hidden="1"/>
    </xf>
    <xf numFmtId="178" fontId="136" fillId="0" borderId="0" xfId="0" applyNumberFormat="1" applyFont="1" applyAlignment="1" applyProtection="1">
      <alignment horizontal="center" vertical="center"/>
      <protection hidden="1"/>
    </xf>
    <xf numFmtId="0" fontId="136" fillId="0" borderId="0" xfId="0" applyFont="1" applyAlignment="1" applyProtection="1">
      <alignment horizontal="center" vertical="center"/>
      <protection hidden="1"/>
    </xf>
    <xf numFmtId="177" fontId="135" fillId="0" borderId="0" xfId="0" applyNumberFormat="1" applyFont="1" applyAlignment="1" applyProtection="1">
      <alignment horizontal="center" vertical="center"/>
      <protection hidden="1"/>
    </xf>
    <xf numFmtId="217" fontId="100" fillId="0" borderId="0" xfId="0" applyNumberFormat="1" applyFont="1" applyAlignment="1" applyProtection="1">
      <alignment horizontal="center" vertical="center"/>
      <protection hidden="1"/>
    </xf>
    <xf numFmtId="217" fontId="135" fillId="0" borderId="0" xfId="0" applyNumberFormat="1" applyFont="1" applyAlignment="1" applyProtection="1">
      <alignment horizontal="center" vertical="center"/>
      <protection hidden="1"/>
    </xf>
    <xf numFmtId="177" fontId="131" fillId="0" borderId="0" xfId="0" applyNumberFormat="1" applyFont="1" applyAlignment="1" applyProtection="1">
      <alignment horizontal="center" vertical="center"/>
      <protection hidden="1"/>
    </xf>
    <xf numFmtId="210" fontId="131" fillId="0" borderId="0" xfId="0" applyNumberFormat="1" applyFont="1" applyAlignment="1" applyProtection="1">
      <alignment horizontal="center" vertical="center"/>
      <protection hidden="1"/>
    </xf>
    <xf numFmtId="0" fontId="100" fillId="0" borderId="70" xfId="0" applyFont="1" applyBorder="1" applyAlignment="1" applyProtection="1">
      <alignment horizontal="center" vertical="center"/>
      <protection hidden="1"/>
    </xf>
    <xf numFmtId="0" fontId="100" fillId="0" borderId="71" xfId="0" applyFont="1" applyBorder="1" applyAlignment="1" applyProtection="1">
      <alignment horizontal="center" vertical="center"/>
      <protection hidden="1"/>
    </xf>
    <xf numFmtId="209" fontId="100" fillId="0" borderId="61" xfId="0" applyNumberFormat="1" applyFont="1" applyBorder="1" applyAlignment="1" applyProtection="1">
      <alignment horizontal="center" vertical="center"/>
      <protection hidden="1"/>
    </xf>
    <xf numFmtId="0" fontId="100" fillId="0" borderId="69" xfId="0" applyFont="1" applyBorder="1" applyAlignment="1" applyProtection="1">
      <alignment horizontal="center" vertical="center"/>
      <protection hidden="1"/>
    </xf>
    <xf numFmtId="209" fontId="100" fillId="0" borderId="70" xfId="0" applyNumberFormat="1" applyFont="1" applyBorder="1" applyAlignment="1" applyProtection="1">
      <alignment horizontal="center" vertical="center"/>
      <protection hidden="1"/>
    </xf>
    <xf numFmtId="209" fontId="134" fillId="33" borderId="61" xfId="0" applyNumberFormat="1" applyFont="1" applyFill="1" applyBorder="1" applyAlignment="1" applyProtection="1">
      <alignment horizontal="center" vertical="center"/>
      <protection hidden="1"/>
    </xf>
    <xf numFmtId="209" fontId="134" fillId="33" borderId="78" xfId="0" applyNumberFormat="1" applyFont="1" applyFill="1" applyBorder="1" applyAlignment="1" applyProtection="1">
      <alignment horizontal="center" vertical="center"/>
      <protection hidden="1"/>
    </xf>
    <xf numFmtId="217" fontId="100" fillId="0" borderId="61" xfId="0" applyNumberFormat="1" applyFont="1" applyBorder="1" applyAlignment="1" applyProtection="1">
      <alignment horizontal="center" vertical="center"/>
      <protection hidden="1"/>
    </xf>
    <xf numFmtId="217" fontId="134" fillId="33" borderId="61" xfId="0" applyNumberFormat="1" applyFont="1" applyFill="1" applyBorder="1" applyAlignment="1" applyProtection="1">
      <alignment horizontal="center" vertical="center"/>
      <protection hidden="1"/>
    </xf>
    <xf numFmtId="217" fontId="134" fillId="33" borderId="78" xfId="0" applyNumberFormat="1" applyFont="1" applyFill="1" applyBorder="1" applyAlignment="1" applyProtection="1">
      <alignment horizontal="center" vertical="center"/>
      <protection hidden="1"/>
    </xf>
    <xf numFmtId="177" fontId="100" fillId="0" borderId="0" xfId="0" applyNumberFormat="1" applyFont="1" applyAlignment="1" applyProtection="1">
      <alignment horizontal="left" vertical="center"/>
      <protection hidden="1"/>
    </xf>
    <xf numFmtId="0" fontId="100" fillId="0" borderId="0" xfId="0" applyFont="1" applyAlignment="1" applyProtection="1">
      <alignment horizontal="left" vertical="center"/>
      <protection hidden="1"/>
    </xf>
    <xf numFmtId="0" fontId="87" fillId="0" borderId="99" xfId="0" applyFont="1" applyBorder="1" applyAlignment="1" applyProtection="1">
      <alignment horizontal="center" vertical="center"/>
      <protection hidden="1"/>
    </xf>
    <xf numFmtId="0" fontId="87" fillId="0" borderId="100" xfId="0" applyFont="1" applyBorder="1" applyAlignment="1" applyProtection="1">
      <alignment horizontal="center" vertical="center"/>
      <protection hidden="1"/>
    </xf>
    <xf numFmtId="0" fontId="87" fillId="0" borderId="96" xfId="0" applyFont="1" applyBorder="1" applyAlignment="1" applyProtection="1">
      <alignment horizontal="center" vertical="center"/>
      <protection hidden="1"/>
    </xf>
    <xf numFmtId="182" fontId="87" fillId="0" borderId="78" xfId="0" applyNumberFormat="1" applyFont="1" applyBorder="1" applyAlignment="1" applyProtection="1">
      <alignment horizontal="center" vertical="center"/>
      <protection hidden="1"/>
    </xf>
    <xf numFmtId="0" fontId="112" fillId="35" borderId="39" xfId="885" applyFont="1" applyFill="1" applyBorder="1" applyAlignment="1" applyProtection="1">
      <alignment horizontal="center" vertical="center" wrapText="1"/>
      <protection hidden="1"/>
    </xf>
    <xf numFmtId="0" fontId="112" fillId="35" borderId="44" xfId="885" applyFont="1" applyFill="1" applyBorder="1" applyAlignment="1" applyProtection="1">
      <alignment horizontal="center" vertical="center" wrapText="1"/>
      <protection hidden="1"/>
    </xf>
    <xf numFmtId="0" fontId="112" fillId="35" borderId="41" xfId="885" applyFont="1" applyFill="1" applyBorder="1" applyAlignment="1" applyProtection="1">
      <alignment horizontal="center" vertical="center" wrapText="1"/>
      <protection hidden="1"/>
    </xf>
    <xf numFmtId="0" fontId="112" fillId="35" borderId="42" xfId="885" applyFont="1" applyFill="1" applyBorder="1" applyAlignment="1" applyProtection="1">
      <alignment horizontal="center" vertical="center" wrapText="1"/>
      <protection hidden="1"/>
    </xf>
    <xf numFmtId="0" fontId="112" fillId="35" borderId="43" xfId="885" applyFont="1" applyFill="1" applyBorder="1" applyAlignment="1" applyProtection="1">
      <alignment horizontal="center" vertical="center" wrapText="1"/>
      <protection hidden="1"/>
    </xf>
    <xf numFmtId="0" fontId="111" fillId="0" borderId="57" xfId="885" applyFont="1" applyBorder="1" applyAlignment="1" applyProtection="1">
      <alignment horizontal="center"/>
      <protection hidden="1"/>
    </xf>
  </cellXfs>
  <cellStyles count="1108">
    <cellStyle name="$" xfId="4"/>
    <cellStyle name="$ &amp; ¢" xfId="5"/>
    <cellStyle name="%" xfId="6"/>
    <cellStyle name="%.00" xfId="7"/>
    <cellStyle name="??&amp;O?&amp;H?_x0008__x000f__x0007_?_x0007__x0001__x0001_" xfId="8"/>
    <cellStyle name="??&amp;O?&amp;H?_x0008_??_x0007__x0001__x0001_" xfId="9"/>
    <cellStyle name="?曹%U?&amp;H?_x0008_?s_x000a__x0007__x0001__x0001_" xfId="10"/>
    <cellStyle name="?曹%U?&amp;H?_x0008_?s_x000a__x0007__x0001__x0001_ 2" xfId="11"/>
    <cellStyle name="?潮%뾁?둃u_x0008_??_x0007__x0001__x0001_" xfId="12"/>
    <cellStyle name="_AS" xfId="13"/>
    <cellStyle name="_용정2p3(아포)" xfId="14"/>
    <cellStyle name="_용정2p3(아포)_01-TYPE-B" xfId="15"/>
    <cellStyle name="_용정2p3(아포)_01-TYPE-B_Book2" xfId="16"/>
    <cellStyle name="_용정2p3(아포)_01-TYPE-B_Book2_TYPE-C" xfId="17"/>
    <cellStyle name="_용정2p3(아포)_01-TYPE-B_Book2_TYPE-C_계산서(상시)" xfId="18"/>
    <cellStyle name="_용정2p3(아포)_01-TYPE-B_Book2_TYPE-C_계산서(상시)_12 단면력도" xfId="19"/>
    <cellStyle name="_용정2p3(아포)_01-TYPE-B_Book2_TYPE-C_계산서(상시)_1-6" xfId="20"/>
    <cellStyle name="_용정2p3(아포)_01-TYPE-B_Book2_TYPE-C_계산서(상시)_TYPE-1(내진)" xfId="21"/>
    <cellStyle name="_용정2p3(아포)_01-TYPE-B_Book2_TYPE-C_계산서(상시)_TYPE-1(수정)" xfId="22"/>
    <cellStyle name="_용정2p3(아포)_01-TYPE-B_Book2_TYPE-C_계산서(상시)_계산서(상시)" xfId="23"/>
    <cellStyle name="_용정2p3(아포)_01-TYPE-B_Book2_TYPE-C_계산서(상시)_계산서(상시)_신분당선" xfId="24"/>
    <cellStyle name="_용정2p3(아포)_01-TYPE-B_Book2_TYPE-C_계산서(상시)_계산서(상시)_신분당선_AA" xfId="25"/>
    <cellStyle name="_용정2p3(아포)_01-TYPE-B_Book2_TYPE-C_계산서(상시)_계산서(상시)_신분당선_EE" xfId="26"/>
    <cellStyle name="_용정2p3(아포)_01-TYPE-B_Book2_TYPE-C_계산서(상시)_계산서(상시)_신분당선_EE_0914" xfId="27"/>
    <cellStyle name="_용정2p3(아포)_01-TYPE-B_Book2_TYPE-C_계산서(상시)_계산서(상시)_외부출입구_BOX" xfId="28"/>
    <cellStyle name="_용정2p3(아포)_01-TYPE-B_Book2_TYPE-C_계산서(상시)_모델링 및 하중조합" xfId="29"/>
    <cellStyle name="_용정2p3(아포)_01-TYPE-B_Book2_TYPE-C_계산서(상시)_목차" xfId="30"/>
    <cellStyle name="_용정2p3(아포)_01-TYPE-B_Book2_TYPE-C_계산서(상시)_하중_지진시" xfId="31"/>
    <cellStyle name="_용정2p3(아포)_01-TYPE-B_Book2_TYPE-E" xfId="32"/>
    <cellStyle name="_용정2p3(아포)_01-TYPE-B_Book2_TYPE-E_계산서(상시)" xfId="33"/>
    <cellStyle name="_용정2p3(아포)_01-TYPE-B_Book2_TYPE-E_계산서(상시)_12 단면력도" xfId="34"/>
    <cellStyle name="_용정2p3(아포)_01-TYPE-B_Book2_TYPE-E_계산서(상시)_1-6" xfId="35"/>
    <cellStyle name="_용정2p3(아포)_01-TYPE-B_Book2_TYPE-E_계산서(상시)_TYPE-1(내진)" xfId="36"/>
    <cellStyle name="_용정2p3(아포)_01-TYPE-B_Book2_TYPE-E_계산서(상시)_TYPE-1(수정)" xfId="37"/>
    <cellStyle name="_용정2p3(아포)_01-TYPE-B_Book2_TYPE-E_계산서(상시)_계산서(상시)" xfId="38"/>
    <cellStyle name="_용정2p3(아포)_01-TYPE-B_Book2_TYPE-E_계산서(상시)_계산서(상시)_신분당선" xfId="39"/>
    <cellStyle name="_용정2p3(아포)_01-TYPE-B_Book2_TYPE-E_계산서(상시)_계산서(상시)_신분당선_AA" xfId="40"/>
    <cellStyle name="_용정2p3(아포)_01-TYPE-B_Book2_TYPE-E_계산서(상시)_계산서(상시)_신분당선_EE" xfId="41"/>
    <cellStyle name="_용정2p3(아포)_01-TYPE-B_Book2_TYPE-E_계산서(상시)_계산서(상시)_신분당선_EE_0914" xfId="42"/>
    <cellStyle name="_용정2p3(아포)_01-TYPE-B_Book2_TYPE-E_계산서(상시)_계산서(상시)_외부출입구_BOX" xfId="43"/>
    <cellStyle name="_용정2p3(아포)_01-TYPE-B_Book2_TYPE-E_계산서(상시)_모델링 및 하중조합" xfId="44"/>
    <cellStyle name="_용정2p3(아포)_01-TYPE-B_Book2_TYPE-E_계산서(상시)_목차" xfId="45"/>
    <cellStyle name="_용정2p3(아포)_01-TYPE-B_Book2_TYPE-E_계산서(상시)_하중_지진시" xfId="46"/>
    <cellStyle name="_용정2p3(아포)_01-TYPE-B_Book2_TYPE-K" xfId="47"/>
    <cellStyle name="_용정2p3(아포)_01-TYPE-B_Book2_TYPE-K_계산서(상시)" xfId="48"/>
    <cellStyle name="_용정2p3(아포)_01-TYPE-B_Book2_TYPE-K_계산서(상시)_12 단면력도" xfId="49"/>
    <cellStyle name="_용정2p3(아포)_01-TYPE-B_Book2_TYPE-K_계산서(상시)_1-6" xfId="50"/>
    <cellStyle name="_용정2p3(아포)_01-TYPE-B_Book2_TYPE-K_계산서(상시)_TYPE-1(내진)" xfId="51"/>
    <cellStyle name="_용정2p3(아포)_01-TYPE-B_Book2_TYPE-K_계산서(상시)_TYPE-1(수정)" xfId="52"/>
    <cellStyle name="_용정2p3(아포)_01-TYPE-B_Book2_TYPE-K_계산서(상시)_계산서(상시)" xfId="53"/>
    <cellStyle name="_용정2p3(아포)_01-TYPE-B_Book2_TYPE-K_계산서(상시)_계산서(상시)_신분당선" xfId="54"/>
    <cellStyle name="_용정2p3(아포)_01-TYPE-B_Book2_TYPE-K_계산서(상시)_계산서(상시)_신분당선_AA" xfId="55"/>
    <cellStyle name="_용정2p3(아포)_01-TYPE-B_Book2_TYPE-K_계산서(상시)_계산서(상시)_신분당선_EE" xfId="56"/>
    <cellStyle name="_용정2p3(아포)_01-TYPE-B_Book2_TYPE-K_계산서(상시)_계산서(상시)_신분당선_EE_0914" xfId="57"/>
    <cellStyle name="_용정2p3(아포)_01-TYPE-B_Book2_TYPE-K_계산서(상시)_계산서(상시)_외부출입구_BOX" xfId="58"/>
    <cellStyle name="_용정2p3(아포)_01-TYPE-B_Book2_TYPE-K_계산서(상시)_모델링 및 하중조합" xfId="59"/>
    <cellStyle name="_용정2p3(아포)_01-TYPE-B_Book2_TYPE-K_계산서(상시)_목차" xfId="60"/>
    <cellStyle name="_용정2p3(아포)_01-TYPE-B_Book2_TYPE-K_계산서(상시)_하중_지진시" xfId="61"/>
    <cellStyle name="_용정2p3(아포)_01-TYPE-B_Book2_계산서(상시)" xfId="62"/>
    <cellStyle name="_용정2p3(아포)_01-TYPE-B_Book2_계산서(상시)_12 단면력도" xfId="63"/>
    <cellStyle name="_용정2p3(아포)_01-TYPE-B_Book2_계산서(상시)_1-6" xfId="64"/>
    <cellStyle name="_용정2p3(아포)_01-TYPE-B_Book2_계산서(상시)_TYPE-1(내진)" xfId="65"/>
    <cellStyle name="_용정2p3(아포)_01-TYPE-B_Book2_계산서(상시)_TYPE-1(수정)" xfId="66"/>
    <cellStyle name="_용정2p3(아포)_01-TYPE-B_Book2_계산서(상시)_계산서(상시)" xfId="67"/>
    <cellStyle name="_용정2p3(아포)_01-TYPE-B_Book2_계산서(상시)_계산서(상시)_신분당선" xfId="68"/>
    <cellStyle name="_용정2p3(아포)_01-TYPE-B_Book2_계산서(상시)_계산서(상시)_신분당선_AA" xfId="69"/>
    <cellStyle name="_용정2p3(아포)_01-TYPE-B_Book2_계산서(상시)_계산서(상시)_신분당선_EE" xfId="70"/>
    <cellStyle name="_용정2p3(아포)_01-TYPE-B_Book2_계산서(상시)_계산서(상시)_신분당선_EE_0914" xfId="71"/>
    <cellStyle name="_용정2p3(아포)_01-TYPE-B_Book2_계산서(상시)_계산서(상시)_외부출입구_BOX" xfId="72"/>
    <cellStyle name="_용정2p3(아포)_01-TYPE-B_Book2_계산서(상시)_모델링 및 하중조합" xfId="73"/>
    <cellStyle name="_용정2p3(아포)_01-TYPE-B_Book2_계산서(상시)_목차" xfId="74"/>
    <cellStyle name="_용정2p3(아포)_01-TYPE-B_Book2_계산서(상시)_하중_지진시" xfId="75"/>
    <cellStyle name="_용정2p3(아포)_01-TYPE-B_TYPE-C" xfId="76"/>
    <cellStyle name="_용정2p3(아포)_01-TYPE-B_TYPE-C_계산서(상시)" xfId="77"/>
    <cellStyle name="_용정2p3(아포)_01-TYPE-B_TYPE-C_계산서(상시)_12 단면력도" xfId="78"/>
    <cellStyle name="_용정2p3(아포)_01-TYPE-B_TYPE-C_계산서(상시)_1-6" xfId="79"/>
    <cellStyle name="_용정2p3(아포)_01-TYPE-B_TYPE-C_계산서(상시)_TYPE-1(내진)" xfId="80"/>
    <cellStyle name="_용정2p3(아포)_01-TYPE-B_TYPE-C_계산서(상시)_TYPE-1(수정)" xfId="81"/>
    <cellStyle name="_용정2p3(아포)_01-TYPE-B_TYPE-C_계산서(상시)_계산서(상시)" xfId="82"/>
    <cellStyle name="_용정2p3(아포)_01-TYPE-B_TYPE-C_계산서(상시)_계산서(상시)_신분당선" xfId="83"/>
    <cellStyle name="_용정2p3(아포)_01-TYPE-B_TYPE-C_계산서(상시)_계산서(상시)_신분당선_AA" xfId="84"/>
    <cellStyle name="_용정2p3(아포)_01-TYPE-B_TYPE-C_계산서(상시)_계산서(상시)_신분당선_EE" xfId="85"/>
    <cellStyle name="_용정2p3(아포)_01-TYPE-B_TYPE-C_계산서(상시)_계산서(상시)_신분당선_EE_0914" xfId="86"/>
    <cellStyle name="_용정2p3(아포)_01-TYPE-B_TYPE-C_계산서(상시)_계산서(상시)_외부출입구_BOX" xfId="87"/>
    <cellStyle name="_용정2p3(아포)_01-TYPE-B_TYPE-C_계산서(상시)_모델링 및 하중조합" xfId="88"/>
    <cellStyle name="_용정2p3(아포)_01-TYPE-B_TYPE-C_계산서(상시)_목차" xfId="89"/>
    <cellStyle name="_용정2p3(아포)_01-TYPE-B_TYPE-C_계산서(상시)_하중_지진시" xfId="90"/>
    <cellStyle name="_용정2p3(아포)_01-TYPE-B_TYPE-E" xfId="91"/>
    <cellStyle name="_용정2p3(아포)_01-TYPE-B_TYPE-E_계산서(상시)" xfId="92"/>
    <cellStyle name="_용정2p3(아포)_01-TYPE-B_TYPE-E_계산서(상시)_12 단면력도" xfId="93"/>
    <cellStyle name="_용정2p3(아포)_01-TYPE-B_TYPE-E_계산서(상시)_1-6" xfId="94"/>
    <cellStyle name="_용정2p3(아포)_01-TYPE-B_TYPE-E_계산서(상시)_TYPE-1(내진)" xfId="95"/>
    <cellStyle name="_용정2p3(아포)_01-TYPE-B_TYPE-E_계산서(상시)_TYPE-1(수정)" xfId="96"/>
    <cellStyle name="_용정2p3(아포)_01-TYPE-B_TYPE-E_계산서(상시)_계산서(상시)" xfId="97"/>
    <cellStyle name="_용정2p3(아포)_01-TYPE-B_TYPE-E_계산서(상시)_계산서(상시)_신분당선" xfId="98"/>
    <cellStyle name="_용정2p3(아포)_01-TYPE-B_TYPE-E_계산서(상시)_계산서(상시)_신분당선_AA" xfId="99"/>
    <cellStyle name="_용정2p3(아포)_01-TYPE-B_TYPE-E_계산서(상시)_계산서(상시)_신분당선_EE" xfId="100"/>
    <cellStyle name="_용정2p3(아포)_01-TYPE-B_TYPE-E_계산서(상시)_계산서(상시)_신분당선_EE_0914" xfId="101"/>
    <cellStyle name="_용정2p3(아포)_01-TYPE-B_TYPE-E_계산서(상시)_계산서(상시)_외부출입구_BOX" xfId="102"/>
    <cellStyle name="_용정2p3(아포)_01-TYPE-B_TYPE-E_계산서(상시)_모델링 및 하중조합" xfId="103"/>
    <cellStyle name="_용정2p3(아포)_01-TYPE-B_TYPE-E_계산서(상시)_목차" xfId="104"/>
    <cellStyle name="_용정2p3(아포)_01-TYPE-B_TYPE-E_계산서(상시)_하중_지진시" xfId="105"/>
    <cellStyle name="_용정2p3(아포)_01-TYPE-B_TYPE-K" xfId="106"/>
    <cellStyle name="_용정2p3(아포)_01-TYPE-B_TYPE-K_계산서(상시)" xfId="107"/>
    <cellStyle name="_용정2p3(아포)_01-TYPE-B_TYPE-K_계산서(상시)_12 단면력도" xfId="108"/>
    <cellStyle name="_용정2p3(아포)_01-TYPE-B_TYPE-K_계산서(상시)_1-6" xfId="109"/>
    <cellStyle name="_용정2p3(아포)_01-TYPE-B_TYPE-K_계산서(상시)_TYPE-1(내진)" xfId="110"/>
    <cellStyle name="_용정2p3(아포)_01-TYPE-B_TYPE-K_계산서(상시)_TYPE-1(수정)" xfId="111"/>
    <cellStyle name="_용정2p3(아포)_01-TYPE-B_TYPE-K_계산서(상시)_계산서(상시)" xfId="112"/>
    <cellStyle name="_용정2p3(아포)_01-TYPE-B_TYPE-K_계산서(상시)_계산서(상시)_신분당선" xfId="113"/>
    <cellStyle name="_용정2p3(아포)_01-TYPE-B_TYPE-K_계산서(상시)_계산서(상시)_신분당선_AA" xfId="114"/>
    <cellStyle name="_용정2p3(아포)_01-TYPE-B_TYPE-K_계산서(상시)_계산서(상시)_신분당선_EE" xfId="115"/>
    <cellStyle name="_용정2p3(아포)_01-TYPE-B_TYPE-K_계산서(상시)_계산서(상시)_신분당선_EE_0914" xfId="116"/>
    <cellStyle name="_용정2p3(아포)_01-TYPE-B_TYPE-K_계산서(상시)_계산서(상시)_외부출입구_BOX" xfId="117"/>
    <cellStyle name="_용정2p3(아포)_01-TYPE-B_TYPE-K_계산서(상시)_모델링 및 하중조합" xfId="118"/>
    <cellStyle name="_용정2p3(아포)_01-TYPE-B_TYPE-K_계산서(상시)_목차" xfId="119"/>
    <cellStyle name="_용정2p3(아포)_01-TYPE-B_TYPE-K_계산서(상시)_하중_지진시" xfId="120"/>
    <cellStyle name="_용정2p3(아포)_01-TYPE-B_계산서(상시)" xfId="121"/>
    <cellStyle name="_용정2p3(아포)_01-TYPE-B_계산서(상시)_12 단면력도" xfId="122"/>
    <cellStyle name="_용정2p3(아포)_01-TYPE-B_계산서(상시)_1-6" xfId="123"/>
    <cellStyle name="_용정2p3(아포)_01-TYPE-B_계산서(상시)_TYPE-1(내진)" xfId="124"/>
    <cellStyle name="_용정2p3(아포)_01-TYPE-B_계산서(상시)_TYPE-1(수정)" xfId="125"/>
    <cellStyle name="_용정2p3(아포)_01-TYPE-B_계산서(상시)_계산서(상시)" xfId="126"/>
    <cellStyle name="_용정2p3(아포)_01-TYPE-B_계산서(상시)_계산서(상시)_신분당선" xfId="127"/>
    <cellStyle name="_용정2p3(아포)_01-TYPE-B_계산서(상시)_계산서(상시)_신분당선_AA" xfId="128"/>
    <cellStyle name="_용정2p3(아포)_01-TYPE-B_계산서(상시)_계산서(상시)_신분당선_EE" xfId="129"/>
    <cellStyle name="_용정2p3(아포)_01-TYPE-B_계산서(상시)_계산서(상시)_신분당선_EE_0914" xfId="130"/>
    <cellStyle name="_용정2p3(아포)_01-TYPE-B_계산서(상시)_계산서(상시)_외부출입구_BOX" xfId="131"/>
    <cellStyle name="_용정2p3(아포)_01-TYPE-B_계산서(상시)_모델링 및 하중조합" xfId="132"/>
    <cellStyle name="_용정2p3(아포)_01-TYPE-B_계산서(상시)_목차" xfId="133"/>
    <cellStyle name="_용정2p3(아포)_01-TYPE-B_계산서(상시)_하중_지진시" xfId="134"/>
    <cellStyle name="_용정2p3(아포)_01-YJE" xfId="135"/>
    <cellStyle name="_용정2p3(아포)_01-YJE_Book2" xfId="136"/>
    <cellStyle name="_용정2p3(아포)_01-YJE_Book2_TYPE-C" xfId="137"/>
    <cellStyle name="_용정2p3(아포)_01-YJE_Book2_TYPE-C_계산서(상시)" xfId="138"/>
    <cellStyle name="_용정2p3(아포)_01-YJE_Book2_TYPE-C_계산서(상시)_12 단면력도" xfId="139"/>
    <cellStyle name="_용정2p3(아포)_01-YJE_Book2_TYPE-C_계산서(상시)_1-6" xfId="140"/>
    <cellStyle name="_용정2p3(아포)_01-YJE_Book2_TYPE-C_계산서(상시)_TYPE-1(내진)" xfId="141"/>
    <cellStyle name="_용정2p3(아포)_01-YJE_Book2_TYPE-C_계산서(상시)_TYPE-1(수정)" xfId="142"/>
    <cellStyle name="_용정2p3(아포)_01-YJE_Book2_TYPE-C_계산서(상시)_계산서(상시)" xfId="143"/>
    <cellStyle name="_용정2p3(아포)_01-YJE_Book2_TYPE-C_계산서(상시)_계산서(상시)_신분당선" xfId="144"/>
    <cellStyle name="_용정2p3(아포)_01-YJE_Book2_TYPE-C_계산서(상시)_계산서(상시)_신분당선_AA" xfId="145"/>
    <cellStyle name="_용정2p3(아포)_01-YJE_Book2_TYPE-C_계산서(상시)_계산서(상시)_신분당선_EE" xfId="146"/>
    <cellStyle name="_용정2p3(아포)_01-YJE_Book2_TYPE-C_계산서(상시)_계산서(상시)_신분당선_EE_0914" xfId="147"/>
    <cellStyle name="_용정2p3(아포)_01-YJE_Book2_TYPE-C_계산서(상시)_계산서(상시)_외부출입구_BOX" xfId="148"/>
    <cellStyle name="_용정2p3(아포)_01-YJE_Book2_TYPE-C_계산서(상시)_모델링 및 하중조합" xfId="149"/>
    <cellStyle name="_용정2p3(아포)_01-YJE_Book2_TYPE-C_계산서(상시)_목차" xfId="150"/>
    <cellStyle name="_용정2p3(아포)_01-YJE_Book2_TYPE-C_계산서(상시)_하중_지진시" xfId="151"/>
    <cellStyle name="_용정2p3(아포)_01-YJE_Book2_TYPE-E" xfId="152"/>
    <cellStyle name="_용정2p3(아포)_01-YJE_Book2_TYPE-E_계산서(상시)" xfId="153"/>
    <cellStyle name="_용정2p3(아포)_01-YJE_Book2_TYPE-E_계산서(상시)_12 단면력도" xfId="154"/>
    <cellStyle name="_용정2p3(아포)_01-YJE_Book2_TYPE-E_계산서(상시)_1-6" xfId="155"/>
    <cellStyle name="_용정2p3(아포)_01-YJE_Book2_TYPE-E_계산서(상시)_TYPE-1(내진)" xfId="156"/>
    <cellStyle name="_용정2p3(아포)_01-YJE_Book2_TYPE-E_계산서(상시)_TYPE-1(수정)" xfId="157"/>
    <cellStyle name="_용정2p3(아포)_01-YJE_Book2_TYPE-E_계산서(상시)_계산서(상시)" xfId="158"/>
    <cellStyle name="_용정2p3(아포)_01-YJE_Book2_TYPE-E_계산서(상시)_계산서(상시)_신분당선" xfId="159"/>
    <cellStyle name="_용정2p3(아포)_01-YJE_Book2_TYPE-E_계산서(상시)_계산서(상시)_신분당선_AA" xfId="160"/>
    <cellStyle name="_용정2p3(아포)_01-YJE_Book2_TYPE-E_계산서(상시)_계산서(상시)_신분당선_EE" xfId="161"/>
    <cellStyle name="_용정2p3(아포)_01-YJE_Book2_TYPE-E_계산서(상시)_계산서(상시)_신분당선_EE_0914" xfId="162"/>
    <cellStyle name="_용정2p3(아포)_01-YJE_Book2_TYPE-E_계산서(상시)_계산서(상시)_외부출입구_BOX" xfId="163"/>
    <cellStyle name="_용정2p3(아포)_01-YJE_Book2_TYPE-E_계산서(상시)_모델링 및 하중조합" xfId="164"/>
    <cellStyle name="_용정2p3(아포)_01-YJE_Book2_TYPE-E_계산서(상시)_목차" xfId="165"/>
    <cellStyle name="_용정2p3(아포)_01-YJE_Book2_TYPE-E_계산서(상시)_하중_지진시" xfId="166"/>
    <cellStyle name="_용정2p3(아포)_01-YJE_Book2_TYPE-K" xfId="167"/>
    <cellStyle name="_용정2p3(아포)_01-YJE_Book2_TYPE-K_계산서(상시)" xfId="168"/>
    <cellStyle name="_용정2p3(아포)_01-YJE_Book2_TYPE-K_계산서(상시)_12 단면력도" xfId="169"/>
    <cellStyle name="_용정2p3(아포)_01-YJE_Book2_TYPE-K_계산서(상시)_1-6" xfId="170"/>
    <cellStyle name="_용정2p3(아포)_01-YJE_Book2_TYPE-K_계산서(상시)_TYPE-1(내진)" xfId="171"/>
    <cellStyle name="_용정2p3(아포)_01-YJE_Book2_TYPE-K_계산서(상시)_TYPE-1(수정)" xfId="172"/>
    <cellStyle name="_용정2p3(아포)_01-YJE_Book2_TYPE-K_계산서(상시)_계산서(상시)" xfId="173"/>
    <cellStyle name="_용정2p3(아포)_01-YJE_Book2_TYPE-K_계산서(상시)_계산서(상시)_신분당선" xfId="174"/>
    <cellStyle name="_용정2p3(아포)_01-YJE_Book2_TYPE-K_계산서(상시)_계산서(상시)_신분당선_AA" xfId="175"/>
    <cellStyle name="_용정2p3(아포)_01-YJE_Book2_TYPE-K_계산서(상시)_계산서(상시)_신분당선_EE" xfId="176"/>
    <cellStyle name="_용정2p3(아포)_01-YJE_Book2_TYPE-K_계산서(상시)_계산서(상시)_신분당선_EE_0914" xfId="177"/>
    <cellStyle name="_용정2p3(아포)_01-YJE_Book2_TYPE-K_계산서(상시)_계산서(상시)_외부출입구_BOX" xfId="178"/>
    <cellStyle name="_용정2p3(아포)_01-YJE_Book2_TYPE-K_계산서(상시)_모델링 및 하중조합" xfId="179"/>
    <cellStyle name="_용정2p3(아포)_01-YJE_Book2_TYPE-K_계산서(상시)_목차" xfId="180"/>
    <cellStyle name="_용정2p3(아포)_01-YJE_Book2_TYPE-K_계산서(상시)_하중_지진시" xfId="181"/>
    <cellStyle name="_용정2p3(아포)_01-YJE_Book2_계산서(상시)" xfId="182"/>
    <cellStyle name="_용정2p3(아포)_01-YJE_Book2_계산서(상시)_12 단면력도" xfId="183"/>
    <cellStyle name="_용정2p3(아포)_01-YJE_Book2_계산서(상시)_1-6" xfId="184"/>
    <cellStyle name="_용정2p3(아포)_01-YJE_Book2_계산서(상시)_TYPE-1(내진)" xfId="185"/>
    <cellStyle name="_용정2p3(아포)_01-YJE_Book2_계산서(상시)_TYPE-1(수정)" xfId="186"/>
    <cellStyle name="_용정2p3(아포)_01-YJE_Book2_계산서(상시)_계산서(상시)" xfId="187"/>
    <cellStyle name="_용정2p3(아포)_01-YJE_Book2_계산서(상시)_계산서(상시)_신분당선" xfId="188"/>
    <cellStyle name="_용정2p3(아포)_01-YJE_Book2_계산서(상시)_계산서(상시)_신분당선_AA" xfId="189"/>
    <cellStyle name="_용정2p3(아포)_01-YJE_Book2_계산서(상시)_계산서(상시)_신분당선_EE" xfId="190"/>
    <cellStyle name="_용정2p3(아포)_01-YJE_Book2_계산서(상시)_계산서(상시)_신분당선_EE_0914" xfId="191"/>
    <cellStyle name="_용정2p3(아포)_01-YJE_Book2_계산서(상시)_계산서(상시)_외부출입구_BOX" xfId="192"/>
    <cellStyle name="_용정2p3(아포)_01-YJE_Book2_계산서(상시)_모델링 및 하중조합" xfId="193"/>
    <cellStyle name="_용정2p3(아포)_01-YJE_Book2_계산서(상시)_목차" xfId="194"/>
    <cellStyle name="_용정2p3(아포)_01-YJE_Book2_계산서(상시)_하중_지진시" xfId="195"/>
    <cellStyle name="_용정2p3(아포)_01-YJE_TYPE-C" xfId="196"/>
    <cellStyle name="_용정2p3(아포)_01-YJE_TYPE-C_계산서(상시)" xfId="197"/>
    <cellStyle name="_용정2p3(아포)_01-YJE_TYPE-C_계산서(상시)_12 단면력도" xfId="198"/>
    <cellStyle name="_용정2p3(아포)_01-YJE_TYPE-C_계산서(상시)_1-6" xfId="199"/>
    <cellStyle name="_용정2p3(아포)_01-YJE_TYPE-C_계산서(상시)_TYPE-1(내진)" xfId="200"/>
    <cellStyle name="_용정2p3(아포)_01-YJE_TYPE-C_계산서(상시)_TYPE-1(수정)" xfId="201"/>
    <cellStyle name="_용정2p3(아포)_01-YJE_TYPE-C_계산서(상시)_계산서(상시)" xfId="202"/>
    <cellStyle name="_용정2p3(아포)_01-YJE_TYPE-C_계산서(상시)_계산서(상시)_신분당선" xfId="203"/>
    <cellStyle name="_용정2p3(아포)_01-YJE_TYPE-C_계산서(상시)_계산서(상시)_신분당선_AA" xfId="204"/>
    <cellStyle name="_용정2p3(아포)_01-YJE_TYPE-C_계산서(상시)_계산서(상시)_신분당선_EE" xfId="205"/>
    <cellStyle name="_용정2p3(아포)_01-YJE_TYPE-C_계산서(상시)_계산서(상시)_신분당선_EE_0914" xfId="206"/>
    <cellStyle name="_용정2p3(아포)_01-YJE_TYPE-C_계산서(상시)_계산서(상시)_외부출입구_BOX" xfId="207"/>
    <cellStyle name="_용정2p3(아포)_01-YJE_TYPE-C_계산서(상시)_모델링 및 하중조합" xfId="208"/>
    <cellStyle name="_용정2p3(아포)_01-YJE_TYPE-C_계산서(상시)_목차" xfId="209"/>
    <cellStyle name="_용정2p3(아포)_01-YJE_TYPE-C_계산서(상시)_하중_지진시" xfId="210"/>
    <cellStyle name="_용정2p3(아포)_01-YJE_TYPE-E" xfId="211"/>
    <cellStyle name="_용정2p3(아포)_01-YJE_TYPE-E_계산서(상시)" xfId="212"/>
    <cellStyle name="_용정2p3(아포)_01-YJE_TYPE-E_계산서(상시)_12 단면력도" xfId="213"/>
    <cellStyle name="_용정2p3(아포)_01-YJE_TYPE-E_계산서(상시)_1-6" xfId="214"/>
    <cellStyle name="_용정2p3(아포)_01-YJE_TYPE-E_계산서(상시)_TYPE-1(내진)" xfId="215"/>
    <cellStyle name="_용정2p3(아포)_01-YJE_TYPE-E_계산서(상시)_TYPE-1(수정)" xfId="216"/>
    <cellStyle name="_용정2p3(아포)_01-YJE_TYPE-E_계산서(상시)_계산서(상시)" xfId="217"/>
    <cellStyle name="_용정2p3(아포)_01-YJE_TYPE-E_계산서(상시)_계산서(상시)_신분당선" xfId="218"/>
    <cellStyle name="_용정2p3(아포)_01-YJE_TYPE-E_계산서(상시)_계산서(상시)_신분당선_AA" xfId="219"/>
    <cellStyle name="_용정2p3(아포)_01-YJE_TYPE-E_계산서(상시)_계산서(상시)_신분당선_EE" xfId="220"/>
    <cellStyle name="_용정2p3(아포)_01-YJE_TYPE-E_계산서(상시)_계산서(상시)_신분당선_EE_0914" xfId="221"/>
    <cellStyle name="_용정2p3(아포)_01-YJE_TYPE-E_계산서(상시)_계산서(상시)_외부출입구_BOX" xfId="222"/>
    <cellStyle name="_용정2p3(아포)_01-YJE_TYPE-E_계산서(상시)_모델링 및 하중조합" xfId="223"/>
    <cellStyle name="_용정2p3(아포)_01-YJE_TYPE-E_계산서(상시)_목차" xfId="224"/>
    <cellStyle name="_용정2p3(아포)_01-YJE_TYPE-E_계산서(상시)_하중_지진시" xfId="225"/>
    <cellStyle name="_용정2p3(아포)_01-YJE_TYPE-K" xfId="226"/>
    <cellStyle name="_용정2p3(아포)_01-YJE_TYPE-K_계산서(상시)" xfId="227"/>
    <cellStyle name="_용정2p3(아포)_01-YJE_TYPE-K_계산서(상시)_12 단면력도" xfId="228"/>
    <cellStyle name="_용정2p3(아포)_01-YJE_TYPE-K_계산서(상시)_1-6" xfId="229"/>
    <cellStyle name="_용정2p3(아포)_01-YJE_TYPE-K_계산서(상시)_TYPE-1(내진)" xfId="230"/>
    <cellStyle name="_용정2p3(아포)_01-YJE_TYPE-K_계산서(상시)_TYPE-1(수정)" xfId="231"/>
    <cellStyle name="_용정2p3(아포)_01-YJE_TYPE-K_계산서(상시)_계산서(상시)" xfId="232"/>
    <cellStyle name="_용정2p3(아포)_01-YJE_TYPE-K_계산서(상시)_계산서(상시)_신분당선" xfId="233"/>
    <cellStyle name="_용정2p3(아포)_01-YJE_TYPE-K_계산서(상시)_계산서(상시)_신분당선_AA" xfId="234"/>
    <cellStyle name="_용정2p3(아포)_01-YJE_TYPE-K_계산서(상시)_계산서(상시)_신분당선_EE" xfId="235"/>
    <cellStyle name="_용정2p3(아포)_01-YJE_TYPE-K_계산서(상시)_계산서(상시)_신분당선_EE_0914" xfId="236"/>
    <cellStyle name="_용정2p3(아포)_01-YJE_TYPE-K_계산서(상시)_계산서(상시)_외부출입구_BOX" xfId="237"/>
    <cellStyle name="_용정2p3(아포)_01-YJE_TYPE-K_계산서(상시)_모델링 및 하중조합" xfId="238"/>
    <cellStyle name="_용정2p3(아포)_01-YJE_TYPE-K_계산서(상시)_목차" xfId="239"/>
    <cellStyle name="_용정2p3(아포)_01-YJE_TYPE-K_계산서(상시)_하중_지진시" xfId="240"/>
    <cellStyle name="_용정2p3(아포)_01-YJE_계산서(상시)" xfId="241"/>
    <cellStyle name="_용정2p3(아포)_01-YJE_계산서(상시)_12 단면력도" xfId="242"/>
    <cellStyle name="_용정2p3(아포)_01-YJE_계산서(상시)_1-6" xfId="243"/>
    <cellStyle name="_용정2p3(아포)_01-YJE_계산서(상시)_TYPE-1(내진)" xfId="244"/>
    <cellStyle name="_용정2p3(아포)_01-YJE_계산서(상시)_TYPE-1(수정)" xfId="245"/>
    <cellStyle name="_용정2p3(아포)_01-YJE_계산서(상시)_계산서(상시)" xfId="246"/>
    <cellStyle name="_용정2p3(아포)_01-YJE_계산서(상시)_계산서(상시)_신분당선" xfId="247"/>
    <cellStyle name="_용정2p3(아포)_01-YJE_계산서(상시)_계산서(상시)_신분당선_AA" xfId="248"/>
    <cellStyle name="_용정2p3(아포)_01-YJE_계산서(상시)_계산서(상시)_신분당선_EE" xfId="249"/>
    <cellStyle name="_용정2p3(아포)_01-YJE_계산서(상시)_계산서(상시)_신분당선_EE_0914" xfId="250"/>
    <cellStyle name="_용정2p3(아포)_01-YJE_계산서(상시)_계산서(상시)_외부출입구_BOX" xfId="251"/>
    <cellStyle name="_용정2p3(아포)_01-YJE_계산서(상시)_모델링 및 하중조합" xfId="252"/>
    <cellStyle name="_용정2p3(아포)_01-YJE_계산서(상시)_목차" xfId="253"/>
    <cellStyle name="_용정2p3(아포)_01-YJE_계산서(상시)_하중_지진시" xfId="254"/>
    <cellStyle name="_용정2p3(아포)_TYPE-C" xfId="255"/>
    <cellStyle name="_용정2p3(아포)_TYPE-C_계산서(상시)" xfId="256"/>
    <cellStyle name="_용정2p3(아포)_TYPE-C_계산서(상시)_12 단면력도" xfId="257"/>
    <cellStyle name="_용정2p3(아포)_TYPE-C_계산서(상시)_1-6" xfId="258"/>
    <cellStyle name="_용정2p3(아포)_TYPE-C_계산서(상시)_TYPE-1(내진)" xfId="259"/>
    <cellStyle name="_용정2p3(아포)_TYPE-C_계산서(상시)_TYPE-1(수정)" xfId="260"/>
    <cellStyle name="_용정2p3(아포)_TYPE-C_계산서(상시)_계산서(상시)" xfId="261"/>
    <cellStyle name="_용정2p3(아포)_TYPE-C_계산서(상시)_계산서(상시)_신분당선" xfId="262"/>
    <cellStyle name="_용정2p3(아포)_TYPE-C_계산서(상시)_계산서(상시)_신분당선_AA" xfId="263"/>
    <cellStyle name="_용정2p3(아포)_TYPE-C_계산서(상시)_계산서(상시)_신분당선_EE" xfId="264"/>
    <cellStyle name="_용정2p3(아포)_TYPE-C_계산서(상시)_계산서(상시)_신분당선_EE_0914" xfId="265"/>
    <cellStyle name="_용정2p3(아포)_TYPE-C_계산서(상시)_계산서(상시)_외부출입구_BOX" xfId="266"/>
    <cellStyle name="_용정2p3(아포)_TYPE-C_계산서(상시)_모델링 및 하중조합" xfId="267"/>
    <cellStyle name="_용정2p3(아포)_TYPE-C_계산서(상시)_목차" xfId="268"/>
    <cellStyle name="_용정2p3(아포)_TYPE-C_계산서(상시)_하중_지진시" xfId="269"/>
    <cellStyle name="_용정2p3(아포)_TYPE-E" xfId="270"/>
    <cellStyle name="_용정2p3(아포)_TYPE-E_계산서(상시)" xfId="271"/>
    <cellStyle name="_용정2p3(아포)_TYPE-E_계산서(상시)_12 단면력도" xfId="272"/>
    <cellStyle name="_용정2p3(아포)_TYPE-E_계산서(상시)_1-6" xfId="273"/>
    <cellStyle name="_용정2p3(아포)_TYPE-E_계산서(상시)_TYPE-1(내진)" xfId="274"/>
    <cellStyle name="_용정2p3(아포)_TYPE-E_계산서(상시)_TYPE-1(수정)" xfId="275"/>
    <cellStyle name="_용정2p3(아포)_TYPE-E_계산서(상시)_계산서(상시)" xfId="276"/>
    <cellStyle name="_용정2p3(아포)_TYPE-E_계산서(상시)_계산서(상시)_신분당선" xfId="277"/>
    <cellStyle name="_용정2p3(아포)_TYPE-E_계산서(상시)_계산서(상시)_신분당선_AA" xfId="278"/>
    <cellStyle name="_용정2p3(아포)_TYPE-E_계산서(상시)_계산서(상시)_신분당선_EE" xfId="279"/>
    <cellStyle name="_용정2p3(아포)_TYPE-E_계산서(상시)_계산서(상시)_신분당선_EE_0914" xfId="280"/>
    <cellStyle name="_용정2p3(아포)_TYPE-E_계산서(상시)_계산서(상시)_외부출입구_BOX" xfId="281"/>
    <cellStyle name="_용정2p3(아포)_TYPE-E_계산서(상시)_모델링 및 하중조합" xfId="282"/>
    <cellStyle name="_용정2p3(아포)_TYPE-E_계산서(상시)_목차" xfId="283"/>
    <cellStyle name="_용정2p3(아포)_TYPE-E_계산서(상시)_하중_지진시" xfId="284"/>
    <cellStyle name="_용정2p3(아포)_TYPE-K" xfId="285"/>
    <cellStyle name="_용정2p3(아포)_TYPE-K_계산서(상시)" xfId="286"/>
    <cellStyle name="_용정2p3(아포)_TYPE-K_계산서(상시)_12 단면력도" xfId="287"/>
    <cellStyle name="_용정2p3(아포)_TYPE-K_계산서(상시)_1-6" xfId="288"/>
    <cellStyle name="_용정2p3(아포)_TYPE-K_계산서(상시)_TYPE-1(내진)" xfId="289"/>
    <cellStyle name="_용정2p3(아포)_TYPE-K_계산서(상시)_TYPE-1(수정)" xfId="290"/>
    <cellStyle name="_용정2p3(아포)_TYPE-K_계산서(상시)_계산서(상시)" xfId="291"/>
    <cellStyle name="_용정2p3(아포)_TYPE-K_계산서(상시)_계산서(상시)_신분당선" xfId="292"/>
    <cellStyle name="_용정2p3(아포)_TYPE-K_계산서(상시)_계산서(상시)_신분당선_AA" xfId="293"/>
    <cellStyle name="_용정2p3(아포)_TYPE-K_계산서(상시)_계산서(상시)_신분당선_EE" xfId="294"/>
    <cellStyle name="_용정2p3(아포)_TYPE-K_계산서(상시)_계산서(상시)_신분당선_EE_0914" xfId="295"/>
    <cellStyle name="_용정2p3(아포)_TYPE-K_계산서(상시)_계산서(상시)_외부출입구_BOX" xfId="296"/>
    <cellStyle name="_용정2p3(아포)_TYPE-K_계산서(상시)_모델링 및 하중조합" xfId="297"/>
    <cellStyle name="_용정2p3(아포)_TYPE-K_계산서(상시)_목차" xfId="298"/>
    <cellStyle name="_용정2p3(아포)_TYPE-K_계산서(상시)_하중_지진시" xfId="299"/>
    <cellStyle name="_용정2p3(아포)_계산서(상시)" xfId="300"/>
    <cellStyle name="_용정2p3(아포)_계산서(상시)_12 단면력도" xfId="301"/>
    <cellStyle name="_용정2p3(아포)_계산서(상시)_1-6" xfId="302"/>
    <cellStyle name="_용정2p3(아포)_계산서(상시)_TYPE-1(내진)" xfId="303"/>
    <cellStyle name="_용정2p3(아포)_계산서(상시)_TYPE-1(수정)" xfId="304"/>
    <cellStyle name="_용정2p3(아포)_계산서(상시)_계산서(상시)" xfId="305"/>
    <cellStyle name="_용정2p3(아포)_계산서(상시)_계산서(상시)_신분당선" xfId="306"/>
    <cellStyle name="_용정2p3(아포)_계산서(상시)_계산서(상시)_신분당선_AA" xfId="307"/>
    <cellStyle name="_용정2p3(아포)_계산서(상시)_계산서(상시)_신분당선_EE" xfId="308"/>
    <cellStyle name="_용정2p3(아포)_계산서(상시)_계산서(상시)_신분당선_EE_0914" xfId="309"/>
    <cellStyle name="_용정2p3(아포)_계산서(상시)_계산서(상시)_외부출입구_BOX" xfId="310"/>
    <cellStyle name="_용정2p3(아포)_계산서(상시)_모델링 및 하중조합" xfId="311"/>
    <cellStyle name="_용정2p3(아포)_계산서(상시)_목차" xfId="312"/>
    <cellStyle name="_용정2p3(아포)_계산서(상시)_하중_지진시" xfId="313"/>
    <cellStyle name="_음성방향-p1" xfId="314"/>
    <cellStyle name="_철근" xfId="315"/>
    <cellStyle name="20% - Accent1" xfId="316"/>
    <cellStyle name="20% - Accent2" xfId="317"/>
    <cellStyle name="20% - Accent3" xfId="318"/>
    <cellStyle name="20% - Accent4" xfId="319"/>
    <cellStyle name="20% - Accent5" xfId="320"/>
    <cellStyle name="20% - Accent6" xfId="321"/>
    <cellStyle name="20% - 강조색1 2" xfId="322"/>
    <cellStyle name="20% - 강조색1 2 2" xfId="323"/>
    <cellStyle name="20% - 강조색1 2_DES" xfId="324"/>
    <cellStyle name="20% - 강조색1 3" xfId="325"/>
    <cellStyle name="20% - 강조색1 4" xfId="326"/>
    <cellStyle name="20% - 강조색1 5" xfId="327"/>
    <cellStyle name="20% - 강조색1 6" xfId="328"/>
    <cellStyle name="20% - 강조색1 7" xfId="329"/>
    <cellStyle name="20% - 강조색1 8" xfId="330"/>
    <cellStyle name="20% - 강조색1 9" xfId="331"/>
    <cellStyle name="20% - 강조색2 2" xfId="332"/>
    <cellStyle name="20% - 강조색2 2 2" xfId="333"/>
    <cellStyle name="20% - 강조색2 2_DES" xfId="334"/>
    <cellStyle name="20% - 강조색2 3" xfId="335"/>
    <cellStyle name="20% - 강조색2 4" xfId="336"/>
    <cellStyle name="20% - 강조색2 5" xfId="337"/>
    <cellStyle name="20% - 강조색2 6" xfId="338"/>
    <cellStyle name="20% - 강조색2 7" xfId="339"/>
    <cellStyle name="20% - 강조색2 8" xfId="340"/>
    <cellStyle name="20% - 강조색2 9" xfId="341"/>
    <cellStyle name="20% - 강조색3 2" xfId="342"/>
    <cellStyle name="20% - 강조색3 2 2" xfId="343"/>
    <cellStyle name="20% - 강조색3 2_DES" xfId="344"/>
    <cellStyle name="20% - 강조색3 3" xfId="345"/>
    <cellStyle name="20% - 강조색3 4" xfId="346"/>
    <cellStyle name="20% - 강조색3 5" xfId="347"/>
    <cellStyle name="20% - 강조색3 6" xfId="348"/>
    <cellStyle name="20% - 강조색3 7" xfId="349"/>
    <cellStyle name="20% - 강조색3 8" xfId="350"/>
    <cellStyle name="20% - 강조색3 9" xfId="351"/>
    <cellStyle name="20% - 강조색4 2" xfId="352"/>
    <cellStyle name="20% - 강조색4 2 2" xfId="353"/>
    <cellStyle name="20% - 강조색4 2_DES" xfId="354"/>
    <cellStyle name="20% - 강조색4 3" xfId="355"/>
    <cellStyle name="20% - 강조색4 4" xfId="356"/>
    <cellStyle name="20% - 강조색4 5" xfId="357"/>
    <cellStyle name="20% - 강조색4 6" xfId="358"/>
    <cellStyle name="20% - 강조색4 7" xfId="359"/>
    <cellStyle name="20% - 강조색4 8" xfId="360"/>
    <cellStyle name="20% - 강조색4 9" xfId="361"/>
    <cellStyle name="20% - 강조색5 2" xfId="362"/>
    <cellStyle name="20% - 강조색5 3" xfId="363"/>
    <cellStyle name="20% - 강조색5 4" xfId="364"/>
    <cellStyle name="20% - 강조색5 5" xfId="365"/>
    <cellStyle name="20% - 강조색5 6" xfId="366"/>
    <cellStyle name="20% - 강조색5 7" xfId="367"/>
    <cellStyle name="20% - 강조색5 8" xfId="368"/>
    <cellStyle name="20% - 강조색5 9" xfId="369"/>
    <cellStyle name="20% - 강조색6 2" xfId="370"/>
    <cellStyle name="20% - 강조색6 2 2" xfId="371"/>
    <cellStyle name="20% - 강조색6 2_DES" xfId="372"/>
    <cellStyle name="20% - 강조색6 3" xfId="373"/>
    <cellStyle name="20% - 강조색6 4" xfId="374"/>
    <cellStyle name="20% - 강조색6 5" xfId="375"/>
    <cellStyle name="20% - 강조색6 6" xfId="376"/>
    <cellStyle name="20% - 강조색6 7" xfId="377"/>
    <cellStyle name="20% - 강조색6 8" xfId="378"/>
    <cellStyle name="20% - 강조색6 9" xfId="379"/>
    <cellStyle name="40% - Accent1" xfId="380"/>
    <cellStyle name="40% - Accent2" xfId="381"/>
    <cellStyle name="40% - Accent3" xfId="382"/>
    <cellStyle name="40% - Accent4" xfId="383"/>
    <cellStyle name="40% - Accent5" xfId="384"/>
    <cellStyle name="40% - Accent6" xfId="385"/>
    <cellStyle name="40% - 강조색1 2" xfId="386"/>
    <cellStyle name="40% - 강조색1 2 2" xfId="387"/>
    <cellStyle name="40% - 강조색1 2_DES" xfId="388"/>
    <cellStyle name="40% - 강조색1 3" xfId="389"/>
    <cellStyle name="40% - 강조색1 4" xfId="390"/>
    <cellStyle name="40% - 강조색1 5" xfId="391"/>
    <cellStyle name="40% - 강조색1 6" xfId="392"/>
    <cellStyle name="40% - 강조색1 7" xfId="393"/>
    <cellStyle name="40% - 강조색1 8" xfId="394"/>
    <cellStyle name="40% - 강조색1 9" xfId="395"/>
    <cellStyle name="40% - 강조색2 2" xfId="396"/>
    <cellStyle name="40% - 강조색2 3" xfId="397"/>
    <cellStyle name="40% - 강조색2 4" xfId="398"/>
    <cellStyle name="40% - 강조색2 5" xfId="399"/>
    <cellStyle name="40% - 강조색2 6" xfId="400"/>
    <cellStyle name="40% - 강조색2 7" xfId="401"/>
    <cellStyle name="40% - 강조색2 8" xfId="402"/>
    <cellStyle name="40% - 강조색2 9" xfId="403"/>
    <cellStyle name="40% - 강조색3 2" xfId="404"/>
    <cellStyle name="40% - 강조색3 2 2" xfId="405"/>
    <cellStyle name="40% - 강조색3 2_DES" xfId="406"/>
    <cellStyle name="40% - 강조색3 3" xfId="407"/>
    <cellStyle name="40% - 강조색3 4" xfId="408"/>
    <cellStyle name="40% - 강조색3 5" xfId="409"/>
    <cellStyle name="40% - 강조색3 6" xfId="410"/>
    <cellStyle name="40% - 강조색3 7" xfId="411"/>
    <cellStyle name="40% - 강조색3 8" xfId="412"/>
    <cellStyle name="40% - 강조색3 9" xfId="413"/>
    <cellStyle name="40% - 강조색4 2" xfId="414"/>
    <cellStyle name="40% - 강조색4 2 2" xfId="415"/>
    <cellStyle name="40% - 강조색4 2_DES" xfId="416"/>
    <cellStyle name="40% - 강조색4 3" xfId="417"/>
    <cellStyle name="40% - 강조색4 4" xfId="418"/>
    <cellStyle name="40% - 강조색4 5" xfId="419"/>
    <cellStyle name="40% - 강조색4 6" xfId="420"/>
    <cellStyle name="40% - 강조색4 7" xfId="421"/>
    <cellStyle name="40% - 강조색4 8" xfId="422"/>
    <cellStyle name="40% - 강조색4 9" xfId="423"/>
    <cellStyle name="40% - 강조색5 2" xfId="424"/>
    <cellStyle name="40% - 강조색5 2 2" xfId="425"/>
    <cellStyle name="40% - 강조색5 2_DES" xfId="426"/>
    <cellStyle name="40% - 강조색5 3" xfId="427"/>
    <cellStyle name="40% - 강조색5 4" xfId="428"/>
    <cellStyle name="40% - 강조색5 5" xfId="429"/>
    <cellStyle name="40% - 강조색5 6" xfId="430"/>
    <cellStyle name="40% - 강조색5 7" xfId="431"/>
    <cellStyle name="40% - 강조색5 8" xfId="432"/>
    <cellStyle name="40% - 강조색5 9" xfId="433"/>
    <cellStyle name="40% - 강조색6 2" xfId="434"/>
    <cellStyle name="40% - 강조색6 2 2" xfId="435"/>
    <cellStyle name="40% - 강조색6 2_DES" xfId="436"/>
    <cellStyle name="40% - 강조색6 3" xfId="437"/>
    <cellStyle name="40% - 강조색6 4" xfId="438"/>
    <cellStyle name="40% - 강조색6 5" xfId="439"/>
    <cellStyle name="40% - 강조색6 6" xfId="440"/>
    <cellStyle name="40% - 강조색6 7" xfId="441"/>
    <cellStyle name="40% - 강조색6 8" xfId="442"/>
    <cellStyle name="40% - 강조색6 9" xfId="443"/>
    <cellStyle name="60% - Accent1" xfId="444"/>
    <cellStyle name="60% - Accent2" xfId="445"/>
    <cellStyle name="60% - Accent3" xfId="446"/>
    <cellStyle name="60% - Accent4" xfId="447"/>
    <cellStyle name="60% - Accent5" xfId="448"/>
    <cellStyle name="60% - Accent6" xfId="449"/>
    <cellStyle name="60% - 강조색1 2" xfId="450"/>
    <cellStyle name="60% - 강조색1 2 2" xfId="451"/>
    <cellStyle name="60% - 강조색1 2_DES" xfId="452"/>
    <cellStyle name="60% - 강조색1 3" xfId="453"/>
    <cellStyle name="60% - 강조색1 4" xfId="454"/>
    <cellStyle name="60% - 강조색1 5" xfId="455"/>
    <cellStyle name="60% - 강조색1 6" xfId="456"/>
    <cellStyle name="60% - 강조색1 7" xfId="457"/>
    <cellStyle name="60% - 강조색1 8" xfId="458"/>
    <cellStyle name="60% - 강조색1 9" xfId="459"/>
    <cellStyle name="60% - 강조색2 2" xfId="460"/>
    <cellStyle name="60% - 강조색2 2 2" xfId="461"/>
    <cellStyle name="60% - 강조색2 2_DES" xfId="462"/>
    <cellStyle name="60% - 강조색2 3" xfId="463"/>
    <cellStyle name="60% - 강조색2 4" xfId="464"/>
    <cellStyle name="60% - 강조색2 5" xfId="465"/>
    <cellStyle name="60% - 강조색2 6" xfId="466"/>
    <cellStyle name="60% - 강조색2 7" xfId="467"/>
    <cellStyle name="60% - 강조색2 8" xfId="468"/>
    <cellStyle name="60% - 강조색2 9" xfId="469"/>
    <cellStyle name="60% - 강조색3 2" xfId="470"/>
    <cellStyle name="60% - 강조색3 2 2" xfId="471"/>
    <cellStyle name="60% - 강조색3 2_DES" xfId="472"/>
    <cellStyle name="60% - 강조색3 3" xfId="473"/>
    <cellStyle name="60% - 강조색3 4" xfId="474"/>
    <cellStyle name="60% - 강조색3 5" xfId="475"/>
    <cellStyle name="60% - 강조색3 6" xfId="476"/>
    <cellStyle name="60% - 강조색3 7" xfId="477"/>
    <cellStyle name="60% - 강조색3 8" xfId="478"/>
    <cellStyle name="60% - 강조색3 9" xfId="479"/>
    <cellStyle name="60% - 강조색4 2" xfId="480"/>
    <cellStyle name="60% - 강조색4 2 2" xfId="481"/>
    <cellStyle name="60% - 강조색4 2_DES" xfId="482"/>
    <cellStyle name="60% - 강조색4 3" xfId="483"/>
    <cellStyle name="60% - 강조색4 4" xfId="484"/>
    <cellStyle name="60% - 강조색4 5" xfId="485"/>
    <cellStyle name="60% - 강조색4 6" xfId="486"/>
    <cellStyle name="60% - 강조색4 7" xfId="487"/>
    <cellStyle name="60% - 강조색4 8" xfId="488"/>
    <cellStyle name="60% - 강조색4 9" xfId="489"/>
    <cellStyle name="60% - 강조색5 2" xfId="490"/>
    <cellStyle name="60% - 강조색5 2 2" xfId="491"/>
    <cellStyle name="60% - 강조색5 2_DES" xfId="492"/>
    <cellStyle name="60% - 강조색5 3" xfId="493"/>
    <cellStyle name="60% - 강조색5 4" xfId="494"/>
    <cellStyle name="60% - 강조색5 5" xfId="495"/>
    <cellStyle name="60% - 강조색5 6" xfId="496"/>
    <cellStyle name="60% - 강조색5 7" xfId="497"/>
    <cellStyle name="60% - 강조색5 8" xfId="498"/>
    <cellStyle name="60% - 강조색5 9" xfId="499"/>
    <cellStyle name="60% - 강조색6 2" xfId="500"/>
    <cellStyle name="60% - 강조색6 2 2" xfId="501"/>
    <cellStyle name="60% - 강조색6 2_DES" xfId="502"/>
    <cellStyle name="60% - 강조색6 3" xfId="503"/>
    <cellStyle name="60% - 강조색6 4" xfId="504"/>
    <cellStyle name="60% - 강조색6 5" xfId="505"/>
    <cellStyle name="60% - 강조색6 6" xfId="506"/>
    <cellStyle name="60% - 강조색6 7" xfId="507"/>
    <cellStyle name="60% - 강조색6 8" xfId="508"/>
    <cellStyle name="60% - 강조색6 9" xfId="509"/>
    <cellStyle name="A¨­￠￢￠O [0]_INQUIRY ￠?￥i¨u¡AAⓒ￢Aⓒª " xfId="510"/>
    <cellStyle name="A¨­￠￢￠O_INQUIRY ￠?￥i¨u¡AAⓒ￢Aⓒª " xfId="511"/>
    <cellStyle name="Accent1" xfId="512"/>
    <cellStyle name="Accent2" xfId="513"/>
    <cellStyle name="Accent3" xfId="514"/>
    <cellStyle name="Accent4" xfId="515"/>
    <cellStyle name="Accent5" xfId="516"/>
    <cellStyle name="Accent6" xfId="517"/>
    <cellStyle name="ÅëÈ­ [0]_»óºÎ¼ö·®Áý°è " xfId="518"/>
    <cellStyle name="AeE­ [0]_INQUIRY ¿μ¾÷AßAø " xfId="519"/>
    <cellStyle name="ÅëÈ­_»óºÎ¼ö·®Áý°è " xfId="520"/>
    <cellStyle name="AeE­_INQUIRY ¿μ¾÷AßAø " xfId="521"/>
    <cellStyle name="AeE¡ⓒ [0]_INQUIRY ￠?￥i¨u¡AAⓒ￢Aⓒª " xfId="522"/>
    <cellStyle name="AeE¡ⓒ_INQUIRY ￠?￥i¨u¡AAⓒ￢Aⓒª " xfId="523"/>
    <cellStyle name="ÄÞ¸¶ [0]_»óºÎ¼ö·®Áý°è " xfId="524"/>
    <cellStyle name="AÞ¸¶ [0]_INQUIRY ¿μ¾÷AßAø " xfId="525"/>
    <cellStyle name="ÄÞ¸¶_»óºÎ¼ö·®Áý°è " xfId="526"/>
    <cellStyle name="AÞ¸¶_INQUIRY ¿μ¾÷AßAø " xfId="527"/>
    <cellStyle name="Bad" xfId="528"/>
    <cellStyle name="Border, Bottom" xfId="529"/>
    <cellStyle name="Border, Left" xfId="530"/>
    <cellStyle name="Border, Right" xfId="531"/>
    <cellStyle name="Border, Top" xfId="532"/>
    <cellStyle name="C¡IA¨ª_¡ic¨u¡A¨￢I¨￢¡Æ AN¡Æe " xfId="533"/>
    <cellStyle name="C￥AØ_¿μ¾÷CoE² " xfId="534"/>
    <cellStyle name="Ç¥ÁØ_»óºÎ¼ö·®Áý°è " xfId="535"/>
    <cellStyle name="Calculation" xfId="536"/>
    <cellStyle name="category" xfId="537"/>
    <cellStyle name="Check Cell" xfId="538"/>
    <cellStyle name="Comma" xfId="539"/>
    <cellStyle name="Comma [0]_ SG&amp;A Bridge " xfId="540"/>
    <cellStyle name="Comma 2" xfId="541"/>
    <cellStyle name="Comma 3" xfId="542"/>
    <cellStyle name="Comma 4" xfId="543"/>
    <cellStyle name="Comma 5" xfId="544"/>
    <cellStyle name="Comma 6" xfId="545"/>
    <cellStyle name="Comma 7" xfId="546"/>
    <cellStyle name="Comma_ SG&amp;A Bridge " xfId="547"/>
    <cellStyle name="Comma0" xfId="548"/>
    <cellStyle name="Comma0 2" xfId="549"/>
    <cellStyle name="Currency" xfId="550"/>
    <cellStyle name="Currency [0]_ SG&amp;A Bridge " xfId="551"/>
    <cellStyle name="Currency 2" xfId="552"/>
    <cellStyle name="Currency 3" xfId="553"/>
    <cellStyle name="Currency 4" xfId="554"/>
    <cellStyle name="Currency 5" xfId="555"/>
    <cellStyle name="Currency 6" xfId="556"/>
    <cellStyle name="Currency 7" xfId="557"/>
    <cellStyle name="Currency_ SG&amp;A Bridge " xfId="558"/>
    <cellStyle name="Currency0" xfId="559"/>
    <cellStyle name="Currency0 2" xfId="560"/>
    <cellStyle name="Date" xfId="561"/>
    <cellStyle name="Date 2" xfId="562"/>
    <cellStyle name="Euro" xfId="563"/>
    <cellStyle name="Explanatory Text" xfId="564"/>
    <cellStyle name="F2" xfId="565"/>
    <cellStyle name="F3" xfId="566"/>
    <cellStyle name="F4" xfId="567"/>
    <cellStyle name="F5" xfId="568"/>
    <cellStyle name="F6" xfId="569"/>
    <cellStyle name="F7" xfId="570"/>
    <cellStyle name="F8" xfId="571"/>
    <cellStyle name="Fixed" xfId="572"/>
    <cellStyle name="Fixed 2" xfId="573"/>
    <cellStyle name="Good" xfId="574"/>
    <cellStyle name="Grey" xfId="575"/>
    <cellStyle name="Grey 2" xfId="576"/>
    <cellStyle name="HEADER" xfId="577"/>
    <cellStyle name="Header1" xfId="578"/>
    <cellStyle name="Header2" xfId="579"/>
    <cellStyle name="Heading 1" xfId="580"/>
    <cellStyle name="Heading 2" xfId="581"/>
    <cellStyle name="Heading 3" xfId="582"/>
    <cellStyle name="Heading 4" xfId="583"/>
    <cellStyle name="Heading1" xfId="584"/>
    <cellStyle name="Heading2" xfId="585"/>
    <cellStyle name="Helv8_PFD4.XLS" xfId="586"/>
    <cellStyle name="Input" xfId="587"/>
    <cellStyle name="Input [yellow]" xfId="588"/>
    <cellStyle name="Input [yellow] 2" xfId="589"/>
    <cellStyle name="Input_K-47202" xfId="590"/>
    <cellStyle name="Linked Cell" xfId="591"/>
    <cellStyle name="Linked Cell 2" xfId="592"/>
    <cellStyle name="Midtitle" xfId="593"/>
    <cellStyle name="mm/dd/yy" xfId="594"/>
    <cellStyle name="Model" xfId="595"/>
    <cellStyle name="MS_Arabic" xfId="596"/>
    <cellStyle name="Neutral" xfId="597"/>
    <cellStyle name="normal" xfId="598"/>
    <cellStyle name="Normal - Style1" xfId="599"/>
    <cellStyle name="Normal - Style1 2" xfId="600"/>
    <cellStyle name="Normal_ SG&amp;A Bridge " xfId="601"/>
    <cellStyle name="Normale_Sheet1" xfId="602"/>
    <cellStyle name="Note" xfId="603"/>
    <cellStyle name="Output" xfId="604"/>
    <cellStyle name="Percent" xfId="605"/>
    <cellStyle name="Percent [2]" xfId="606"/>
    <cellStyle name="Percent 2" xfId="607"/>
    <cellStyle name="Percent 3" xfId="608"/>
    <cellStyle name="Percent 4" xfId="609"/>
    <cellStyle name="Percent 5" xfId="610"/>
    <cellStyle name="Percent 6" xfId="611"/>
    <cellStyle name="Percent 7" xfId="612"/>
    <cellStyle name="Percent_#7,8 - TR 계산서" xfId="613"/>
    <cellStyle name="Red Title" xfId="614"/>
    <cellStyle name="subhead" xfId="615"/>
    <cellStyle name="testtitle" xfId="616"/>
    <cellStyle name="testtitle 2" xfId="617"/>
    <cellStyle name="Text Wrap" xfId="618"/>
    <cellStyle name="Title" xfId="619"/>
    <cellStyle name="Total" xfId="620"/>
    <cellStyle name="Total 2" xfId="621"/>
    <cellStyle name="Warning Text" xfId="622"/>
    <cellStyle name="가운데" xfId="623"/>
    <cellStyle name="강조색1 2" xfId="624"/>
    <cellStyle name="강조색1 2 2" xfId="625"/>
    <cellStyle name="강조색1 2_DES" xfId="626"/>
    <cellStyle name="강조색1 3" xfId="627"/>
    <cellStyle name="강조색1 4" xfId="628"/>
    <cellStyle name="강조색1 5" xfId="629"/>
    <cellStyle name="강조색1 6" xfId="630"/>
    <cellStyle name="강조색1 7" xfId="631"/>
    <cellStyle name="강조색1 8" xfId="632"/>
    <cellStyle name="강조색1 9" xfId="633"/>
    <cellStyle name="강조색2 2" xfId="634"/>
    <cellStyle name="강조색2 2 2" xfId="635"/>
    <cellStyle name="강조색2 2_DES" xfId="636"/>
    <cellStyle name="강조색2 3" xfId="637"/>
    <cellStyle name="강조색2 4" xfId="638"/>
    <cellStyle name="강조색2 5" xfId="639"/>
    <cellStyle name="강조색2 6" xfId="640"/>
    <cellStyle name="강조색2 7" xfId="641"/>
    <cellStyle name="강조색2 8" xfId="642"/>
    <cellStyle name="강조색2 9" xfId="643"/>
    <cellStyle name="강조색3 2" xfId="644"/>
    <cellStyle name="강조색3 2 2" xfId="645"/>
    <cellStyle name="강조색3 2_DES" xfId="646"/>
    <cellStyle name="강조색3 3" xfId="647"/>
    <cellStyle name="강조색3 4" xfId="648"/>
    <cellStyle name="강조색3 5" xfId="649"/>
    <cellStyle name="강조색3 6" xfId="650"/>
    <cellStyle name="강조색3 7" xfId="651"/>
    <cellStyle name="강조색3 8" xfId="652"/>
    <cellStyle name="강조색3 9" xfId="653"/>
    <cellStyle name="강조색4 2" xfId="654"/>
    <cellStyle name="강조색4 2 2" xfId="655"/>
    <cellStyle name="강조색4 2_DES" xfId="656"/>
    <cellStyle name="강조색4 3" xfId="657"/>
    <cellStyle name="강조색4 4" xfId="658"/>
    <cellStyle name="강조색4 5" xfId="659"/>
    <cellStyle name="강조색4 6" xfId="660"/>
    <cellStyle name="강조색4 7" xfId="661"/>
    <cellStyle name="강조색4 8" xfId="662"/>
    <cellStyle name="강조색4 9" xfId="663"/>
    <cellStyle name="강조색5 2" xfId="664"/>
    <cellStyle name="강조색5 3" xfId="665"/>
    <cellStyle name="강조색5 4" xfId="666"/>
    <cellStyle name="강조색5 5" xfId="667"/>
    <cellStyle name="강조색5 6" xfId="668"/>
    <cellStyle name="강조색5 7" xfId="669"/>
    <cellStyle name="강조색5 8" xfId="670"/>
    <cellStyle name="강조색5 9" xfId="671"/>
    <cellStyle name="강조색6 2" xfId="672"/>
    <cellStyle name="강조색6 2 2" xfId="673"/>
    <cellStyle name="강조색6 2_DES" xfId="674"/>
    <cellStyle name="강조색6 3" xfId="675"/>
    <cellStyle name="강조색6 4" xfId="676"/>
    <cellStyle name="강조색6 5" xfId="677"/>
    <cellStyle name="강조색6 6" xfId="678"/>
    <cellStyle name="강조색6 7" xfId="679"/>
    <cellStyle name="강조색6 8" xfId="680"/>
    <cellStyle name="강조색6 9" xfId="681"/>
    <cellStyle name="경고문 2" xfId="682"/>
    <cellStyle name="경고문 3" xfId="683"/>
    <cellStyle name="경고문 4" xfId="684"/>
    <cellStyle name="경고문 5" xfId="685"/>
    <cellStyle name="경고문 6" xfId="686"/>
    <cellStyle name="경고문 7" xfId="687"/>
    <cellStyle name="경고문 8" xfId="688"/>
    <cellStyle name="경고문 9" xfId="689"/>
    <cellStyle name="계산 2" xfId="690"/>
    <cellStyle name="계산 2 2" xfId="691"/>
    <cellStyle name="계산 2_DES" xfId="692"/>
    <cellStyle name="계산 3" xfId="693"/>
    <cellStyle name="계산 4" xfId="694"/>
    <cellStyle name="계산 5" xfId="695"/>
    <cellStyle name="계산 6" xfId="696"/>
    <cellStyle name="계산 7" xfId="697"/>
    <cellStyle name="계산 8" xfId="698"/>
    <cellStyle name="계산 9" xfId="699"/>
    <cellStyle name="고정소숫점" xfId="700"/>
    <cellStyle name="고정출력1" xfId="701"/>
    <cellStyle name="고정출력2" xfId="702"/>
    <cellStyle name="나쁨 2" xfId="703"/>
    <cellStyle name="나쁨 2 2" xfId="704"/>
    <cellStyle name="나쁨 2_DES" xfId="705"/>
    <cellStyle name="나쁨 3" xfId="706"/>
    <cellStyle name="나쁨 4" xfId="707"/>
    <cellStyle name="나쁨 5" xfId="708"/>
    <cellStyle name="나쁨 6" xfId="709"/>
    <cellStyle name="나쁨 7" xfId="710"/>
    <cellStyle name="나쁨 8" xfId="711"/>
    <cellStyle name="나쁨 9" xfId="712"/>
    <cellStyle name="날짜" xfId="713"/>
    <cellStyle name="내역서" xfId="714"/>
    <cellStyle name="달러" xfId="715"/>
    <cellStyle name="뒤에 오는 하이퍼링크" xfId="716"/>
    <cellStyle name="똿뗦먛귟 [0.00]_PRODUCT DETAIL Q1" xfId="717"/>
    <cellStyle name="똿뗦먛귟_PRODUCT DETAIL Q1" xfId="718"/>
    <cellStyle name="메모 2" xfId="719"/>
    <cellStyle name="메모 2 2" xfId="720"/>
    <cellStyle name="메모 3" xfId="721"/>
    <cellStyle name="메모 4" xfId="722"/>
    <cellStyle name="메모 5" xfId="723"/>
    <cellStyle name="메모 6" xfId="724"/>
    <cellStyle name="메모 7" xfId="725"/>
    <cellStyle name="메모 8" xfId="726"/>
    <cellStyle name="메모 9" xfId="727"/>
    <cellStyle name="믅됞 [0.00]_PRODUCT DETAIL Q1" xfId="728"/>
    <cellStyle name="믅됞_PRODUCT DETAIL Q1" xfId="729"/>
    <cellStyle name="백분율 2" xfId="730"/>
    <cellStyle name="보통 2" xfId="731"/>
    <cellStyle name="보통 2 2" xfId="732"/>
    <cellStyle name="보통 2_DES" xfId="733"/>
    <cellStyle name="보통 3" xfId="734"/>
    <cellStyle name="보통 4" xfId="735"/>
    <cellStyle name="보통 5" xfId="736"/>
    <cellStyle name="보통 6" xfId="737"/>
    <cellStyle name="보통 7" xfId="738"/>
    <cellStyle name="보통 8" xfId="739"/>
    <cellStyle name="보통 9" xfId="740"/>
    <cellStyle name="뷭?_BOOKSHIP" xfId="741"/>
    <cellStyle name="선택영역" xfId="742"/>
    <cellStyle name="설명 텍스트 2" xfId="743"/>
    <cellStyle name="설명 텍스트 3" xfId="744"/>
    <cellStyle name="설명 텍스트 4" xfId="745"/>
    <cellStyle name="설명 텍스트 5" xfId="746"/>
    <cellStyle name="설명 텍스트 6" xfId="747"/>
    <cellStyle name="설명 텍스트 7" xfId="748"/>
    <cellStyle name="설명 텍스트 8" xfId="749"/>
    <cellStyle name="설명 텍스트 9" xfId="750"/>
    <cellStyle name="셀 확인 2" xfId="751"/>
    <cellStyle name="셀 확인 3" xfId="752"/>
    <cellStyle name="셀 확인 4" xfId="753"/>
    <cellStyle name="셀 확인 5" xfId="754"/>
    <cellStyle name="셀 확인 6" xfId="755"/>
    <cellStyle name="셀 확인 7" xfId="756"/>
    <cellStyle name="셀 확인 8" xfId="757"/>
    <cellStyle name="셀 확인 9" xfId="758"/>
    <cellStyle name="숫자" xfId="759"/>
    <cellStyle name="숫자(R)" xfId="760"/>
    <cellStyle name="숫자1" xfId="761"/>
    <cellStyle name="숫자3" xfId="762"/>
    <cellStyle name="쉼표 [0] 2" xfId="763"/>
    <cellStyle name="쉼표 [0] 2 2" xfId="764"/>
    <cellStyle name="쉼표 [0] 3" xfId="765"/>
    <cellStyle name="쉼표 [0] 4" xfId="766"/>
    <cellStyle name="스타일 1" xfId="767"/>
    <cellStyle name="스타일 1 2" xfId="768"/>
    <cellStyle name="연결된 셀 10" xfId="769"/>
    <cellStyle name="연결된 셀 2" xfId="770"/>
    <cellStyle name="연결된 셀 2 2" xfId="771"/>
    <cellStyle name="연결된 셀 2 3" xfId="772"/>
    <cellStyle name="연결된 셀 2_DES" xfId="773"/>
    <cellStyle name="연결된 셀 3" xfId="774"/>
    <cellStyle name="연결된 셀 4" xfId="775"/>
    <cellStyle name="연결된 셀 5" xfId="776"/>
    <cellStyle name="연결된 셀 6" xfId="777"/>
    <cellStyle name="연결된 셀 7" xfId="778"/>
    <cellStyle name="연결된 셀 8" xfId="779"/>
    <cellStyle name="연결된 셀 9" xfId="780"/>
    <cellStyle name="요약 2" xfId="781"/>
    <cellStyle name="요약 2 2" xfId="782"/>
    <cellStyle name="요약 2_DES" xfId="783"/>
    <cellStyle name="요약 3" xfId="784"/>
    <cellStyle name="요약 4" xfId="785"/>
    <cellStyle name="요약 5" xfId="786"/>
    <cellStyle name="요약 6" xfId="787"/>
    <cellStyle name="요약 7" xfId="788"/>
    <cellStyle name="요약 8" xfId="789"/>
    <cellStyle name="요약 9" xfId="790"/>
    <cellStyle name="일반" xfId="791"/>
    <cellStyle name="입력 2" xfId="792"/>
    <cellStyle name="입력 2 2" xfId="793"/>
    <cellStyle name="입력 2_DES" xfId="794"/>
    <cellStyle name="입력 3" xfId="795"/>
    <cellStyle name="입력 4" xfId="796"/>
    <cellStyle name="입력 5" xfId="797"/>
    <cellStyle name="입력 6" xfId="798"/>
    <cellStyle name="입력 7" xfId="799"/>
    <cellStyle name="입력 8" xfId="800"/>
    <cellStyle name="입력 9" xfId="801"/>
    <cellStyle name="자리수" xfId="802"/>
    <cellStyle name="자리수0" xfId="803"/>
    <cellStyle name="자리수0 2" xfId="804"/>
    <cellStyle name="제목 1 2" xfId="805"/>
    <cellStyle name="제목 1 2 2" xfId="806"/>
    <cellStyle name="제목 1 2_DES" xfId="807"/>
    <cellStyle name="제목 1 3" xfId="808"/>
    <cellStyle name="제목 1 4" xfId="809"/>
    <cellStyle name="제목 1 5" xfId="810"/>
    <cellStyle name="제목 1 6" xfId="811"/>
    <cellStyle name="제목 1 7" xfId="812"/>
    <cellStyle name="제목 1 8" xfId="813"/>
    <cellStyle name="제목 1 9" xfId="814"/>
    <cellStyle name="제목 10" xfId="815"/>
    <cellStyle name="제목 11" xfId="816"/>
    <cellStyle name="제목 12" xfId="817"/>
    <cellStyle name="제목 2 2" xfId="818"/>
    <cellStyle name="제목 2 2 2" xfId="819"/>
    <cellStyle name="제목 2 2_DES" xfId="820"/>
    <cellStyle name="제목 2 3" xfId="821"/>
    <cellStyle name="제목 2 4" xfId="822"/>
    <cellStyle name="제목 2 5" xfId="823"/>
    <cellStyle name="제목 2 6" xfId="824"/>
    <cellStyle name="제목 2 7" xfId="825"/>
    <cellStyle name="제목 2 8" xfId="826"/>
    <cellStyle name="제목 2 9" xfId="827"/>
    <cellStyle name="제목 3 2" xfId="828"/>
    <cellStyle name="제목 3 2 2" xfId="829"/>
    <cellStyle name="제목 3 2_DES" xfId="830"/>
    <cellStyle name="제목 3 3" xfId="831"/>
    <cellStyle name="제목 3 4" xfId="832"/>
    <cellStyle name="제목 3 5" xfId="833"/>
    <cellStyle name="제목 3 6" xfId="834"/>
    <cellStyle name="제목 3 7" xfId="835"/>
    <cellStyle name="제목 3 8" xfId="836"/>
    <cellStyle name="제목 3 9" xfId="837"/>
    <cellStyle name="제목 4 2" xfId="838"/>
    <cellStyle name="제목 4 2 2" xfId="839"/>
    <cellStyle name="제목 4 2_DES" xfId="840"/>
    <cellStyle name="제목 4 3" xfId="841"/>
    <cellStyle name="제목 4 4" xfId="842"/>
    <cellStyle name="제목 4 5" xfId="843"/>
    <cellStyle name="제목 4 6" xfId="844"/>
    <cellStyle name="제목 4 7" xfId="845"/>
    <cellStyle name="제목 4 8" xfId="846"/>
    <cellStyle name="제목 4 9" xfId="847"/>
    <cellStyle name="제목 5" xfId="848"/>
    <cellStyle name="제목 5 2" xfId="849"/>
    <cellStyle name="제목 5_DES" xfId="850"/>
    <cellStyle name="제목 6" xfId="851"/>
    <cellStyle name="제목 7" xfId="852"/>
    <cellStyle name="제목 8" xfId="853"/>
    <cellStyle name="제목 9" xfId="854"/>
    <cellStyle name="좋음 2" xfId="855"/>
    <cellStyle name="좋음 2 2" xfId="856"/>
    <cellStyle name="좋음 2_DES" xfId="857"/>
    <cellStyle name="좋음 3" xfId="858"/>
    <cellStyle name="좋음 4" xfId="859"/>
    <cellStyle name="좋음 5" xfId="860"/>
    <cellStyle name="좋음 6" xfId="861"/>
    <cellStyle name="좋음 7" xfId="862"/>
    <cellStyle name="좋음 8" xfId="863"/>
    <cellStyle name="좋음 9" xfId="864"/>
    <cellStyle name="출력 2" xfId="865"/>
    <cellStyle name="출력 2 2" xfId="866"/>
    <cellStyle name="출력 2_DES" xfId="867"/>
    <cellStyle name="출력 3" xfId="868"/>
    <cellStyle name="출력 4" xfId="869"/>
    <cellStyle name="출력 5" xfId="870"/>
    <cellStyle name="출력 6" xfId="871"/>
    <cellStyle name="출력 7" xfId="872"/>
    <cellStyle name="출력 8" xfId="873"/>
    <cellStyle name="출력 9" xfId="874"/>
    <cellStyle name="콤마 [0]_  종  합  " xfId="875"/>
    <cellStyle name="콤마_  종  합  " xfId="876"/>
    <cellStyle name="통화 [0] 2" xfId="877"/>
    <cellStyle name="통화 [0㉝〸" xfId="878"/>
    <cellStyle name="퍼센트" xfId="879"/>
    <cellStyle name="표준" xfId="0" builtinId="0"/>
    <cellStyle name="표준 10" xfId="880"/>
    <cellStyle name="표준 10 2" xfId="881"/>
    <cellStyle name="표준 10 2 2" xfId="882"/>
    <cellStyle name="표준 10 2 3" xfId="883"/>
    <cellStyle name="표준 10 3" xfId="884"/>
    <cellStyle name="표준 100" xfId="885"/>
    <cellStyle name="표준 101" xfId="886"/>
    <cellStyle name="표준 102" xfId="887"/>
    <cellStyle name="표준 103" xfId="888"/>
    <cellStyle name="표준 104" xfId="889"/>
    <cellStyle name="표준 105" xfId="890"/>
    <cellStyle name="표준 106" xfId="891"/>
    <cellStyle name="표준 107" xfId="892"/>
    <cellStyle name="표준 108" xfId="893"/>
    <cellStyle name="표준 109" xfId="894"/>
    <cellStyle name="표준 11" xfId="895"/>
    <cellStyle name="표준 11 2" xfId="896"/>
    <cellStyle name="표준 11 2 2" xfId="897"/>
    <cellStyle name="표준 11 2 3" xfId="898"/>
    <cellStyle name="표준 11 3" xfId="899"/>
    <cellStyle name="표준 110" xfId="900"/>
    <cellStyle name="표준 111" xfId="901"/>
    <cellStyle name="표준 112" xfId="902"/>
    <cellStyle name="표준 113" xfId="903"/>
    <cellStyle name="표준 114" xfId="904"/>
    <cellStyle name="표준 115" xfId="905"/>
    <cellStyle name="표준 116" xfId="906"/>
    <cellStyle name="표준 117" xfId="907"/>
    <cellStyle name="표준 118" xfId="908"/>
    <cellStyle name="표준 119" xfId="909"/>
    <cellStyle name="표준 12" xfId="910"/>
    <cellStyle name="표준 12 2" xfId="911"/>
    <cellStyle name="표준 12 2 2" xfId="912"/>
    <cellStyle name="표준 12 2 3" xfId="913"/>
    <cellStyle name="표준 12 3" xfId="914"/>
    <cellStyle name="표준 120" xfId="915"/>
    <cellStyle name="표준 121" xfId="916"/>
    <cellStyle name="표준 122" xfId="917"/>
    <cellStyle name="표준 123" xfId="918"/>
    <cellStyle name="표준 124" xfId="919"/>
    <cellStyle name="표준 125" xfId="920"/>
    <cellStyle name="표준 126" xfId="921"/>
    <cellStyle name="표준 127" xfId="922"/>
    <cellStyle name="표준 128" xfId="923"/>
    <cellStyle name="표준 129" xfId="924"/>
    <cellStyle name="표준 13" xfId="925"/>
    <cellStyle name="표준 130" xfId="926"/>
    <cellStyle name="표준 131" xfId="927"/>
    <cellStyle name="표준 132" xfId="928"/>
    <cellStyle name="표준 133" xfId="929"/>
    <cellStyle name="표준 134" xfId="930"/>
    <cellStyle name="표준 135" xfId="931"/>
    <cellStyle name="표준 136" xfId="932"/>
    <cellStyle name="표준 137" xfId="933"/>
    <cellStyle name="표준 138" xfId="934"/>
    <cellStyle name="표준 139" xfId="935"/>
    <cellStyle name="표준 14" xfId="936"/>
    <cellStyle name="표준 140" xfId="937"/>
    <cellStyle name="표준 141" xfId="938"/>
    <cellStyle name="표준 142" xfId="939"/>
    <cellStyle name="표준 143" xfId="940"/>
    <cellStyle name="표준 144" xfId="941"/>
    <cellStyle name="표준 145" xfId="942"/>
    <cellStyle name="표준 146" xfId="943"/>
    <cellStyle name="표준 147" xfId="944"/>
    <cellStyle name="표준 148" xfId="945"/>
    <cellStyle name="표준 149" xfId="946"/>
    <cellStyle name="표준 15" xfId="947"/>
    <cellStyle name="표준 150" xfId="948"/>
    <cellStyle name="표준 151" xfId="949"/>
    <cellStyle name="표준 152" xfId="950"/>
    <cellStyle name="표준 153" xfId="951"/>
    <cellStyle name="표준 154" xfId="952"/>
    <cellStyle name="표준 154 2" xfId="953"/>
    <cellStyle name="표준 154 2 2" xfId="954"/>
    <cellStyle name="표준 154 2 3" xfId="955"/>
    <cellStyle name="표준 154 3" xfId="956"/>
    <cellStyle name="표준 155" xfId="957"/>
    <cellStyle name="표준 155 2" xfId="958"/>
    <cellStyle name="표준 155 2 2" xfId="959"/>
    <cellStyle name="표준 155 2 3" xfId="960"/>
    <cellStyle name="표준 155 3" xfId="961"/>
    <cellStyle name="표준 156" xfId="962"/>
    <cellStyle name="표준 157" xfId="963"/>
    <cellStyle name="표준 158" xfId="964"/>
    <cellStyle name="표준 159" xfId="965"/>
    <cellStyle name="표준 16" xfId="966"/>
    <cellStyle name="표준 160" xfId="967"/>
    <cellStyle name="표준 161" xfId="968"/>
    <cellStyle name="표준 162" xfId="969"/>
    <cellStyle name="표준 163" xfId="970"/>
    <cellStyle name="표준 165" xfId="971"/>
    <cellStyle name="표준 167" xfId="972"/>
    <cellStyle name="표준 168" xfId="973"/>
    <cellStyle name="표준 17" xfId="974"/>
    <cellStyle name="표준 177" xfId="2"/>
    <cellStyle name="표준 18" xfId="975"/>
    <cellStyle name="표준 19" xfId="976"/>
    <cellStyle name="표준 2" xfId="977"/>
    <cellStyle name="표준 2 2" xfId="978"/>
    <cellStyle name="표준 2 2 58" xfId="3"/>
    <cellStyle name="표준 2 3" xfId="979"/>
    <cellStyle name="표준 2 4" xfId="980"/>
    <cellStyle name="표준 2 60" xfId="1"/>
    <cellStyle name="표준 2_부력검토" xfId="981"/>
    <cellStyle name="표준 20" xfId="982"/>
    <cellStyle name="표준 21" xfId="983"/>
    <cellStyle name="표준 22" xfId="984"/>
    <cellStyle name="표준 23" xfId="985"/>
    <cellStyle name="표준 24" xfId="986"/>
    <cellStyle name="표준 25" xfId="987"/>
    <cellStyle name="표준 26" xfId="988"/>
    <cellStyle name="표준 27" xfId="989"/>
    <cellStyle name="표준 28" xfId="990"/>
    <cellStyle name="표준 29" xfId="991"/>
    <cellStyle name="표준 3" xfId="992"/>
    <cellStyle name="표준 3 2" xfId="993"/>
    <cellStyle name="표준 3 3" xfId="994"/>
    <cellStyle name="표준 3 3 2" xfId="995"/>
    <cellStyle name="표준 3 3 3" xfId="996"/>
    <cellStyle name="표준 3 4" xfId="997"/>
    <cellStyle name="표준 3 5" xfId="998"/>
    <cellStyle name="표준 3_DES" xfId="999"/>
    <cellStyle name="표준 30" xfId="1000"/>
    <cellStyle name="표준 31" xfId="1001"/>
    <cellStyle name="표준 32" xfId="1002"/>
    <cellStyle name="표준 33" xfId="1003"/>
    <cellStyle name="표준 34" xfId="1004"/>
    <cellStyle name="표준 35" xfId="1005"/>
    <cellStyle name="표준 36" xfId="1006"/>
    <cellStyle name="표준 37" xfId="1007"/>
    <cellStyle name="표준 38" xfId="1008"/>
    <cellStyle name="표준 39" xfId="1009"/>
    <cellStyle name="표준 4" xfId="1010"/>
    <cellStyle name="표준 4 2" xfId="1011"/>
    <cellStyle name="표준 4 2 2" xfId="1012"/>
    <cellStyle name="표준 4 2 3" xfId="1013"/>
    <cellStyle name="표준 4 3" xfId="1014"/>
    <cellStyle name="표준 4 4" xfId="1015"/>
    <cellStyle name="표준 4_DES" xfId="1016"/>
    <cellStyle name="표준 40" xfId="1017"/>
    <cellStyle name="표준 41" xfId="1018"/>
    <cellStyle name="표준 42" xfId="1019"/>
    <cellStyle name="표준 43" xfId="1020"/>
    <cellStyle name="표준 44" xfId="1021"/>
    <cellStyle name="표준 45" xfId="1022"/>
    <cellStyle name="표준 46" xfId="1023"/>
    <cellStyle name="표준 47" xfId="1024"/>
    <cellStyle name="표준 48" xfId="1025"/>
    <cellStyle name="표준 49" xfId="1026"/>
    <cellStyle name="표준 5" xfId="1027"/>
    <cellStyle name="표준 5 2" xfId="1028"/>
    <cellStyle name="표준 5 3" xfId="1029"/>
    <cellStyle name="표준 5 3 2" xfId="1030"/>
    <cellStyle name="표준 5 3 3" xfId="1031"/>
    <cellStyle name="표준 5 4" xfId="1032"/>
    <cellStyle name="표준 5_DES" xfId="1033"/>
    <cellStyle name="표준 50" xfId="1034"/>
    <cellStyle name="표준 51" xfId="1035"/>
    <cellStyle name="표준 52" xfId="1036"/>
    <cellStyle name="표준 53" xfId="1037"/>
    <cellStyle name="표준 54" xfId="1038"/>
    <cellStyle name="표준 55" xfId="1039"/>
    <cellStyle name="표준 56" xfId="1040"/>
    <cellStyle name="표준 57" xfId="1041"/>
    <cellStyle name="표준 58" xfId="1042"/>
    <cellStyle name="표준 59" xfId="1043"/>
    <cellStyle name="표준 6 2" xfId="1044"/>
    <cellStyle name="표준 6 2 2" xfId="1045"/>
    <cellStyle name="표준 6 3" xfId="1046"/>
    <cellStyle name="표준 60" xfId="1047"/>
    <cellStyle name="표준 61" xfId="1048"/>
    <cellStyle name="표준 62" xfId="1049"/>
    <cellStyle name="표준 63" xfId="1050"/>
    <cellStyle name="표준 64" xfId="1051"/>
    <cellStyle name="표준 65" xfId="1052"/>
    <cellStyle name="표준 66" xfId="1053"/>
    <cellStyle name="표준 67" xfId="1054"/>
    <cellStyle name="표준 68" xfId="1055"/>
    <cellStyle name="표준 69" xfId="1056"/>
    <cellStyle name="표준 7" xfId="1057"/>
    <cellStyle name="표준 7 2" xfId="1058"/>
    <cellStyle name="표준 7 2 2" xfId="1059"/>
    <cellStyle name="표준 7 2 3" xfId="1060"/>
    <cellStyle name="표준 7 3" xfId="1061"/>
    <cellStyle name="표준 7 4" xfId="1062"/>
    <cellStyle name="표준 7_DES" xfId="1063"/>
    <cellStyle name="표준 70" xfId="1064"/>
    <cellStyle name="표준 71" xfId="1065"/>
    <cellStyle name="표준 72" xfId="1066"/>
    <cellStyle name="표준 73" xfId="1067"/>
    <cellStyle name="표준 74" xfId="1068"/>
    <cellStyle name="표준 75" xfId="1069"/>
    <cellStyle name="표준 76" xfId="1070"/>
    <cellStyle name="표준 77" xfId="1071"/>
    <cellStyle name="표준 78" xfId="1072"/>
    <cellStyle name="표준 79" xfId="1073"/>
    <cellStyle name="표준 8" xfId="1074"/>
    <cellStyle name="표준 8 2" xfId="1075"/>
    <cellStyle name="표준 8 2 2" xfId="1076"/>
    <cellStyle name="표준 8 2 3" xfId="1077"/>
    <cellStyle name="표준 8 3" xfId="1078"/>
    <cellStyle name="표준 8_DES" xfId="1079"/>
    <cellStyle name="표준 80" xfId="1080"/>
    <cellStyle name="표준 81" xfId="1081"/>
    <cellStyle name="표준 82" xfId="1082"/>
    <cellStyle name="표준 83" xfId="1083"/>
    <cellStyle name="표준 84" xfId="1084"/>
    <cellStyle name="표준 85" xfId="1085"/>
    <cellStyle name="표준 86" xfId="1086"/>
    <cellStyle name="표준 87" xfId="1087"/>
    <cellStyle name="표준 88" xfId="1088"/>
    <cellStyle name="표준 89" xfId="1089"/>
    <cellStyle name="표준 9 2" xfId="1090"/>
    <cellStyle name="표준 90" xfId="1091"/>
    <cellStyle name="표준 91" xfId="1092"/>
    <cellStyle name="표준 92" xfId="1093"/>
    <cellStyle name="표준 93" xfId="1094"/>
    <cellStyle name="표준 94" xfId="1095"/>
    <cellStyle name="표준 95" xfId="1096"/>
    <cellStyle name="표준 96" xfId="1097"/>
    <cellStyle name="표준 97" xfId="1098"/>
    <cellStyle name="표준 98" xfId="1099"/>
    <cellStyle name="표준 99" xfId="1100"/>
    <cellStyle name="표준_01 지하차도" xfId="1106"/>
    <cellStyle name="표준_1.설계조건" xfId="1105"/>
    <cellStyle name="표준_4련2825박스입력값_01최초침전지-1S" xfId="1107"/>
    <cellStyle name="하이퍼링크 2" xfId="1101"/>
    <cellStyle name="합산" xfId="1102"/>
    <cellStyle name="화폐기호" xfId="1103"/>
    <cellStyle name="화폐기호0" xfId="1104"/>
  </cellStyles>
  <dxfs count="10"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FFCC"/>
        </patternFill>
      </fill>
    </dxf>
  </dxfs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Velocity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4574800194654187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1"/>
          <c:order val="0"/>
          <c:tx>
            <c:v>기능수행수준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16"/>
              <c:layout>
                <c:manualLayout>
                  <c:x val="-1.7823839515672749E-2"/>
                  <c:y val="-3.5154578070671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14-420C-9CD9-8692A49175B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X)'!$D$3:$D$303</c:f>
              <c:numCache>
                <c:formatCode>0.0000_ </c:formatCode>
                <c:ptCount val="301"/>
                <c:pt idx="0">
                  <c:v>0</c:v>
                </c:pt>
                <c:pt idx="1">
                  <c:v>2.3858815150446639E-3</c:v>
                </c:pt>
                <c:pt idx="2">
                  <c:v>6.5611741663728256E-3</c:v>
                </c:pt>
                <c:pt idx="3">
                  <c:v>1.2525877953984483E-2</c:v>
                </c:pt>
                <c:pt idx="4">
                  <c:v>1.6701170605312649E-2</c:v>
                </c:pt>
                <c:pt idx="5">
                  <c:v>2.0876463256640804E-2</c:v>
                </c:pt>
                <c:pt idx="6">
                  <c:v>2.5051755907968969E-2</c:v>
                </c:pt>
                <c:pt idx="7">
                  <c:v>2.9227048559297131E-2</c:v>
                </c:pt>
                <c:pt idx="8">
                  <c:v>3.3402341210625297E-2</c:v>
                </c:pt>
                <c:pt idx="9">
                  <c:v>3.7577633861953445E-2</c:v>
                </c:pt>
                <c:pt idx="10">
                  <c:v>4.1752926513281607E-2</c:v>
                </c:pt>
                <c:pt idx="11">
                  <c:v>4.592821916460977E-2</c:v>
                </c:pt>
                <c:pt idx="12">
                  <c:v>5.0103511815937932E-2</c:v>
                </c:pt>
                <c:pt idx="13">
                  <c:v>5.4278804467266087E-2</c:v>
                </c:pt>
                <c:pt idx="14">
                  <c:v>5.8454097118594242E-2</c:v>
                </c:pt>
                <c:pt idx="15">
                  <c:v>6.2629389769922411E-2</c:v>
                </c:pt>
                <c:pt idx="16">
                  <c:v>6.2629389769922425E-2</c:v>
                </c:pt>
                <c:pt idx="17">
                  <c:v>6.2629389769922425E-2</c:v>
                </c:pt>
                <c:pt idx="18">
                  <c:v>6.2629389769922425E-2</c:v>
                </c:pt>
                <c:pt idx="19">
                  <c:v>6.2629389769922425E-2</c:v>
                </c:pt>
                <c:pt idx="20">
                  <c:v>6.2629389769922411E-2</c:v>
                </c:pt>
                <c:pt idx="21">
                  <c:v>6.2629389769922425E-2</c:v>
                </c:pt>
                <c:pt idx="22">
                  <c:v>6.2629389769922411E-2</c:v>
                </c:pt>
                <c:pt idx="23">
                  <c:v>6.2629389769922425E-2</c:v>
                </c:pt>
                <c:pt idx="24">
                  <c:v>6.2629389769922411E-2</c:v>
                </c:pt>
                <c:pt idx="25">
                  <c:v>6.2629389769922411E-2</c:v>
                </c:pt>
                <c:pt idx="26">
                  <c:v>6.2629389769922425E-2</c:v>
                </c:pt>
                <c:pt idx="27">
                  <c:v>6.2629389769922411E-2</c:v>
                </c:pt>
                <c:pt idx="28">
                  <c:v>6.2629389769922425E-2</c:v>
                </c:pt>
                <c:pt idx="29">
                  <c:v>6.2629389769922411E-2</c:v>
                </c:pt>
                <c:pt idx="30">
                  <c:v>6.2629389769922411E-2</c:v>
                </c:pt>
                <c:pt idx="31">
                  <c:v>6.2629389769922411E-2</c:v>
                </c:pt>
                <c:pt idx="32">
                  <c:v>6.2629389769922411E-2</c:v>
                </c:pt>
                <c:pt idx="33">
                  <c:v>6.2629389769922425E-2</c:v>
                </c:pt>
                <c:pt idx="34">
                  <c:v>6.2629389769922425E-2</c:v>
                </c:pt>
                <c:pt idx="35">
                  <c:v>6.2629389769922425E-2</c:v>
                </c:pt>
                <c:pt idx="36">
                  <c:v>6.2629389769922425E-2</c:v>
                </c:pt>
                <c:pt idx="37">
                  <c:v>6.2629389769922425E-2</c:v>
                </c:pt>
                <c:pt idx="38">
                  <c:v>6.2629389769922411E-2</c:v>
                </c:pt>
                <c:pt idx="39">
                  <c:v>6.2629389769922425E-2</c:v>
                </c:pt>
                <c:pt idx="40">
                  <c:v>6.2629389769922425E-2</c:v>
                </c:pt>
                <c:pt idx="41">
                  <c:v>6.2629389769922425E-2</c:v>
                </c:pt>
                <c:pt idx="42">
                  <c:v>6.2629389769922425E-2</c:v>
                </c:pt>
                <c:pt idx="43">
                  <c:v>6.2629389769922425E-2</c:v>
                </c:pt>
                <c:pt idx="44">
                  <c:v>6.2629389769922411E-2</c:v>
                </c:pt>
                <c:pt idx="45">
                  <c:v>6.2629389769922425E-2</c:v>
                </c:pt>
                <c:pt idx="46">
                  <c:v>6.2629389769922425E-2</c:v>
                </c:pt>
                <c:pt idx="47">
                  <c:v>6.2629389769922425E-2</c:v>
                </c:pt>
                <c:pt idx="48">
                  <c:v>6.2629389769922411E-2</c:v>
                </c:pt>
                <c:pt idx="49">
                  <c:v>6.2629389769922425E-2</c:v>
                </c:pt>
                <c:pt idx="50">
                  <c:v>6.2629389769922425E-2</c:v>
                </c:pt>
                <c:pt idx="51">
                  <c:v>6.2629389769922411E-2</c:v>
                </c:pt>
                <c:pt idx="52">
                  <c:v>6.2629389769922411E-2</c:v>
                </c:pt>
                <c:pt idx="53">
                  <c:v>6.2629389769922411E-2</c:v>
                </c:pt>
                <c:pt idx="54">
                  <c:v>6.2629389769922425E-2</c:v>
                </c:pt>
                <c:pt idx="55">
                  <c:v>6.2629389769922425E-2</c:v>
                </c:pt>
                <c:pt idx="56">
                  <c:v>6.2629389769922425E-2</c:v>
                </c:pt>
                <c:pt idx="57">
                  <c:v>6.2629389769922425E-2</c:v>
                </c:pt>
                <c:pt idx="58">
                  <c:v>6.2629389769922425E-2</c:v>
                </c:pt>
                <c:pt idx="59">
                  <c:v>6.2629389769922411E-2</c:v>
                </c:pt>
                <c:pt idx="60">
                  <c:v>6.2629389769922411E-2</c:v>
                </c:pt>
                <c:pt idx="61">
                  <c:v>6.2629389769922425E-2</c:v>
                </c:pt>
                <c:pt idx="62">
                  <c:v>6.2629389769922411E-2</c:v>
                </c:pt>
                <c:pt idx="63">
                  <c:v>6.2629389769922425E-2</c:v>
                </c:pt>
                <c:pt idx="64">
                  <c:v>6.2629389769922411E-2</c:v>
                </c:pt>
                <c:pt idx="65">
                  <c:v>6.2629389769922411E-2</c:v>
                </c:pt>
                <c:pt idx="66">
                  <c:v>6.2629389769922425E-2</c:v>
                </c:pt>
                <c:pt idx="67">
                  <c:v>6.2629389769922411E-2</c:v>
                </c:pt>
                <c:pt idx="68">
                  <c:v>6.2629389769922425E-2</c:v>
                </c:pt>
                <c:pt idx="69">
                  <c:v>6.2629389769922411E-2</c:v>
                </c:pt>
                <c:pt idx="70">
                  <c:v>6.2629389769922425E-2</c:v>
                </c:pt>
                <c:pt idx="71">
                  <c:v>6.2629389769922425E-2</c:v>
                </c:pt>
                <c:pt idx="72">
                  <c:v>6.2629389769922411E-2</c:v>
                </c:pt>
                <c:pt idx="73">
                  <c:v>6.2629389769922425E-2</c:v>
                </c:pt>
                <c:pt idx="74">
                  <c:v>6.2629389769922411E-2</c:v>
                </c:pt>
                <c:pt idx="75">
                  <c:v>6.2629389769922411E-2</c:v>
                </c:pt>
                <c:pt idx="76">
                  <c:v>6.2629389769922411E-2</c:v>
                </c:pt>
                <c:pt idx="77">
                  <c:v>6.2629389769922425E-2</c:v>
                </c:pt>
                <c:pt idx="78">
                  <c:v>6.2629389769922411E-2</c:v>
                </c:pt>
                <c:pt idx="79">
                  <c:v>6.2629389769922425E-2</c:v>
                </c:pt>
                <c:pt idx="80">
                  <c:v>6.2629389769922425E-2</c:v>
                </c:pt>
                <c:pt idx="81">
                  <c:v>6.2629389769922439E-2</c:v>
                </c:pt>
                <c:pt idx="82">
                  <c:v>6.2629389769922411E-2</c:v>
                </c:pt>
                <c:pt idx="83">
                  <c:v>6.2629389769922425E-2</c:v>
                </c:pt>
                <c:pt idx="84">
                  <c:v>6.2629389769922411E-2</c:v>
                </c:pt>
                <c:pt idx="85">
                  <c:v>6.2629389769922425E-2</c:v>
                </c:pt>
                <c:pt idx="86">
                  <c:v>6.2629389769922425E-2</c:v>
                </c:pt>
                <c:pt idx="87">
                  <c:v>6.2629389769922411E-2</c:v>
                </c:pt>
                <c:pt idx="88">
                  <c:v>6.2629389769922425E-2</c:v>
                </c:pt>
                <c:pt idx="89">
                  <c:v>6.2629389769922439E-2</c:v>
                </c:pt>
                <c:pt idx="90">
                  <c:v>6.2629389769922411E-2</c:v>
                </c:pt>
                <c:pt idx="91">
                  <c:v>6.2629389769922411E-2</c:v>
                </c:pt>
                <c:pt idx="92">
                  <c:v>6.2629389769922439E-2</c:v>
                </c:pt>
                <c:pt idx="93">
                  <c:v>6.2629389769922411E-2</c:v>
                </c:pt>
                <c:pt idx="94">
                  <c:v>6.2629389769922425E-2</c:v>
                </c:pt>
                <c:pt idx="95">
                  <c:v>6.2629389769922425E-2</c:v>
                </c:pt>
                <c:pt idx="96">
                  <c:v>6.2629389769922425E-2</c:v>
                </c:pt>
                <c:pt idx="97">
                  <c:v>6.2629389769922425E-2</c:v>
                </c:pt>
                <c:pt idx="98">
                  <c:v>6.2629389769922411E-2</c:v>
                </c:pt>
                <c:pt idx="99">
                  <c:v>6.2629389769922411E-2</c:v>
                </c:pt>
                <c:pt idx="100">
                  <c:v>6.2629389769922439E-2</c:v>
                </c:pt>
                <c:pt idx="101">
                  <c:v>6.2629389769922411E-2</c:v>
                </c:pt>
                <c:pt idx="102">
                  <c:v>6.2629389769922411E-2</c:v>
                </c:pt>
                <c:pt idx="103">
                  <c:v>6.2629389769922425E-2</c:v>
                </c:pt>
                <c:pt idx="104">
                  <c:v>6.2629389769922425E-2</c:v>
                </c:pt>
                <c:pt idx="105">
                  <c:v>6.2629389769922425E-2</c:v>
                </c:pt>
                <c:pt idx="106">
                  <c:v>6.2629389769922425E-2</c:v>
                </c:pt>
                <c:pt idx="107">
                  <c:v>6.2629389769922425E-2</c:v>
                </c:pt>
                <c:pt idx="108">
                  <c:v>6.2629389769922425E-2</c:v>
                </c:pt>
                <c:pt idx="109">
                  <c:v>6.2629389769922411E-2</c:v>
                </c:pt>
                <c:pt idx="110">
                  <c:v>6.2629389769922425E-2</c:v>
                </c:pt>
                <c:pt idx="111">
                  <c:v>6.2629389769922425E-2</c:v>
                </c:pt>
                <c:pt idx="112">
                  <c:v>6.2629389769922411E-2</c:v>
                </c:pt>
                <c:pt idx="113">
                  <c:v>6.2629389769922425E-2</c:v>
                </c:pt>
                <c:pt idx="114">
                  <c:v>6.2629389769922425E-2</c:v>
                </c:pt>
                <c:pt idx="115">
                  <c:v>6.2629389769922411E-2</c:v>
                </c:pt>
                <c:pt idx="116">
                  <c:v>6.2629389769922425E-2</c:v>
                </c:pt>
                <c:pt idx="117">
                  <c:v>6.2629389769922425E-2</c:v>
                </c:pt>
                <c:pt idx="118">
                  <c:v>6.2629389769922411E-2</c:v>
                </c:pt>
                <c:pt idx="119">
                  <c:v>6.2629389769922425E-2</c:v>
                </c:pt>
                <c:pt idx="120">
                  <c:v>6.2629389769922425E-2</c:v>
                </c:pt>
                <c:pt idx="121">
                  <c:v>6.2629389769922411E-2</c:v>
                </c:pt>
                <c:pt idx="122">
                  <c:v>6.2629389769922425E-2</c:v>
                </c:pt>
                <c:pt idx="123">
                  <c:v>6.2629389769922411E-2</c:v>
                </c:pt>
                <c:pt idx="124">
                  <c:v>6.2629389769922411E-2</c:v>
                </c:pt>
                <c:pt idx="125">
                  <c:v>6.2629389769922425E-2</c:v>
                </c:pt>
                <c:pt idx="126">
                  <c:v>6.2629389769922425E-2</c:v>
                </c:pt>
                <c:pt idx="127">
                  <c:v>6.2629389769922425E-2</c:v>
                </c:pt>
                <c:pt idx="128">
                  <c:v>6.2629389769922425E-2</c:v>
                </c:pt>
                <c:pt idx="129">
                  <c:v>6.2629389769922425E-2</c:v>
                </c:pt>
                <c:pt idx="130">
                  <c:v>6.2629389769922411E-2</c:v>
                </c:pt>
                <c:pt idx="131">
                  <c:v>6.2629389769922425E-2</c:v>
                </c:pt>
                <c:pt idx="132">
                  <c:v>6.2629389769922425E-2</c:v>
                </c:pt>
                <c:pt idx="133">
                  <c:v>6.2629389769922425E-2</c:v>
                </c:pt>
                <c:pt idx="134">
                  <c:v>6.2629389769922411E-2</c:v>
                </c:pt>
                <c:pt idx="135">
                  <c:v>6.2629389769922411E-2</c:v>
                </c:pt>
                <c:pt idx="136">
                  <c:v>6.2629389769922425E-2</c:v>
                </c:pt>
                <c:pt idx="137">
                  <c:v>6.2629389769922425E-2</c:v>
                </c:pt>
                <c:pt idx="138">
                  <c:v>6.2629389769922411E-2</c:v>
                </c:pt>
                <c:pt idx="139">
                  <c:v>6.2629389769922411E-2</c:v>
                </c:pt>
                <c:pt idx="140">
                  <c:v>6.2629389769922411E-2</c:v>
                </c:pt>
                <c:pt idx="141">
                  <c:v>6.2629389769922425E-2</c:v>
                </c:pt>
                <c:pt idx="142">
                  <c:v>6.2629389769922425E-2</c:v>
                </c:pt>
                <c:pt idx="143">
                  <c:v>6.2629389769922439E-2</c:v>
                </c:pt>
                <c:pt idx="144">
                  <c:v>6.2629389769922425E-2</c:v>
                </c:pt>
                <c:pt idx="145">
                  <c:v>6.2629389769922411E-2</c:v>
                </c:pt>
                <c:pt idx="146">
                  <c:v>6.2629389769922425E-2</c:v>
                </c:pt>
                <c:pt idx="147">
                  <c:v>6.2629389769922425E-2</c:v>
                </c:pt>
                <c:pt idx="148">
                  <c:v>6.2629389769922425E-2</c:v>
                </c:pt>
                <c:pt idx="149">
                  <c:v>6.2629389769922425E-2</c:v>
                </c:pt>
                <c:pt idx="150">
                  <c:v>6.2629389769922439E-2</c:v>
                </c:pt>
                <c:pt idx="151">
                  <c:v>6.221462559926063E-2</c:v>
                </c:pt>
                <c:pt idx="152">
                  <c:v>6.1805318851897086E-2</c:v>
                </c:pt>
                <c:pt idx="153">
                  <c:v>6.1401362519531752E-2</c:v>
                </c:pt>
                <c:pt idx="154">
                  <c:v>6.1002652373301006E-2</c:v>
                </c:pt>
                <c:pt idx="155">
                  <c:v>6.0609086874118423E-2</c:v>
                </c:pt>
                <c:pt idx="156">
                  <c:v>6.0220567086463811E-2</c:v>
                </c:pt>
                <c:pt idx="157">
                  <c:v>5.9836996595467241E-2</c:v>
                </c:pt>
                <c:pt idx="158">
                  <c:v>5.9458281427141484E-2</c:v>
                </c:pt>
                <c:pt idx="159">
                  <c:v>5.9084329971624883E-2</c:v>
                </c:pt>
                <c:pt idx="160">
                  <c:v>5.8715052909302227E-2</c:v>
                </c:pt>
                <c:pt idx="161">
                  <c:v>5.8350363139679236E-2</c:v>
                </c:pt>
                <c:pt idx="162">
                  <c:v>5.7990175712891077E-2</c:v>
                </c:pt>
                <c:pt idx="163">
                  <c:v>5.7634407763732236E-2</c:v>
                </c:pt>
                <c:pt idx="164">
                  <c:v>5.7282978448099729E-2</c:v>
                </c:pt>
                <c:pt idx="165">
                  <c:v>5.693580888174761E-2</c:v>
                </c:pt>
                <c:pt idx="166">
                  <c:v>5.6592822081255156E-2</c:v>
                </c:pt>
                <c:pt idx="167">
                  <c:v>5.6253942907115904E-2</c:v>
                </c:pt>
                <c:pt idx="168">
                  <c:v>5.5919098008859268E-2</c:v>
                </c:pt>
                <c:pt idx="169">
                  <c:v>5.5588215772120447E-2</c:v>
                </c:pt>
                <c:pt idx="170">
                  <c:v>5.5261226267578574E-2</c:v>
                </c:pt>
                <c:pt idx="171">
                  <c:v>5.4938061201686296E-2</c:v>
                </c:pt>
                <c:pt idx="172">
                  <c:v>5.461865386911835E-2</c:v>
                </c:pt>
                <c:pt idx="173">
                  <c:v>5.4302939106869112E-2</c:v>
                </c:pt>
                <c:pt idx="174">
                  <c:v>5.3990853249933093E-2</c:v>
                </c:pt>
                <c:pt idx="175">
                  <c:v>5.3682334088504882E-2</c:v>
                </c:pt>
                <c:pt idx="176">
                  <c:v>5.3377320826638389E-2</c:v>
                </c:pt>
                <c:pt idx="177">
                  <c:v>5.3075754042307098E-2</c:v>
                </c:pt>
                <c:pt idx="178">
                  <c:v>5.2777575648810991E-2</c:v>
                </c:pt>
                <c:pt idx="179">
                  <c:v>5.2482728857476853E-2</c:v>
                </c:pt>
                <c:pt idx="180">
                  <c:v>5.2191158141601975E-2</c:v>
                </c:pt>
                <c:pt idx="181">
                  <c:v>5.1902809201593118E-2</c:v>
                </c:pt>
                <c:pt idx="182">
                  <c:v>5.1617628931254704E-2</c:v>
                </c:pt>
                <c:pt idx="183">
                  <c:v>5.1335565385182275E-2</c:v>
                </c:pt>
                <c:pt idx="184">
                  <c:v>5.1056567747219332E-2</c:v>
                </c:pt>
                <c:pt idx="185">
                  <c:v>5.0780586299937057E-2</c:v>
                </c:pt>
                <c:pt idx="186">
                  <c:v>5.050757239509869E-2</c:v>
                </c:pt>
                <c:pt idx="187">
                  <c:v>5.0237478425071418E-2</c:v>
                </c:pt>
                <c:pt idx="188">
                  <c:v>4.9970257795150831E-2</c:v>
                </c:pt>
                <c:pt idx="189">
                  <c:v>4.9705864896763784E-2</c:v>
                </c:pt>
                <c:pt idx="190">
                  <c:v>4.9444255081517667E-2</c:v>
                </c:pt>
                <c:pt idx="191">
                  <c:v>4.9185384636064686E-2</c:v>
                </c:pt>
                <c:pt idx="192">
                  <c:v>4.8929210757751862E-2</c:v>
                </c:pt>
                <c:pt idx="193">
                  <c:v>4.8675691531027757E-2</c:v>
                </c:pt>
                <c:pt idx="194">
                  <c:v>4.8424785904579146E-2</c:v>
                </c:pt>
                <c:pt idx="195">
                  <c:v>4.817645366917106E-2</c:v>
                </c:pt>
                <c:pt idx="196">
                  <c:v>4.7930655436165079E-2</c:v>
                </c:pt>
                <c:pt idx="197">
                  <c:v>4.7687352616692158E-2</c:v>
                </c:pt>
                <c:pt idx="198">
                  <c:v>4.744650740145636E-2</c:v>
                </c:pt>
                <c:pt idx="199">
                  <c:v>4.7208082741147524E-2</c:v>
                </c:pt>
                <c:pt idx="200">
                  <c:v>4.6972042327441781E-2</c:v>
                </c:pt>
                <c:pt idx="201">
                  <c:v>4.6738350574568946E-2</c:v>
                </c:pt>
                <c:pt idx="202">
                  <c:v>4.6506972601427526E-2</c:v>
                </c:pt>
                <c:pt idx="203">
                  <c:v>4.6277874214228382E-2</c:v>
                </c:pt>
                <c:pt idx="204">
                  <c:v>4.6051021889648831E-2</c:v>
                </c:pt>
                <c:pt idx="205">
                  <c:v>4.5826382758479813E-2</c:v>
                </c:pt>
                <c:pt idx="206">
                  <c:v>4.5603924589749344E-2</c:v>
                </c:pt>
                <c:pt idx="207">
                  <c:v>4.5383615775306106E-2</c:v>
                </c:pt>
                <c:pt idx="208">
                  <c:v>4.5165425314847907E-2</c:v>
                </c:pt>
                <c:pt idx="209">
                  <c:v>4.494932280137974E-2</c:v>
                </c:pt>
                <c:pt idx="210">
                  <c:v>4.4735278407087464E-2</c:v>
                </c:pt>
                <c:pt idx="211">
                  <c:v>4.4523262869613119E-2</c:v>
                </c:pt>
                <c:pt idx="212">
                  <c:v>4.4313247478718731E-2</c:v>
                </c:pt>
                <c:pt idx="213">
                  <c:v>4.410520406332568E-2</c:v>
                </c:pt>
                <c:pt idx="214">
                  <c:v>4.3899104978917615E-2</c:v>
                </c:pt>
                <c:pt idx="215">
                  <c:v>4.3694923095294755E-2</c:v>
                </c:pt>
                <c:pt idx="216">
                  <c:v>4.3492631784668397E-2</c:v>
                </c:pt>
                <c:pt idx="217">
                  <c:v>4.3292204910084668E-2</c:v>
                </c:pt>
                <c:pt idx="218">
                  <c:v>4.3093616814166853E-2</c:v>
                </c:pt>
                <c:pt idx="219">
                  <c:v>4.2896842308166094E-2</c:v>
                </c:pt>
                <c:pt idx="220">
                  <c:v>4.2701856661310801E-2</c:v>
                </c:pt>
                <c:pt idx="221">
                  <c:v>4.250863559044514E-2</c:v>
                </c:pt>
                <c:pt idx="222">
                  <c:v>4.2317155249947648E-2</c:v>
                </c:pt>
                <c:pt idx="223">
                  <c:v>4.2127392221920974E-2</c:v>
                </c:pt>
                <c:pt idx="224">
                  <c:v>4.1939323506644546E-2</c:v>
                </c:pt>
                <c:pt idx="225">
                  <c:v>4.1752926513281684E-2</c:v>
                </c:pt>
                <c:pt idx="226">
                  <c:v>4.1568179050833542E-2</c:v>
                </c:pt>
                <c:pt idx="227">
                  <c:v>4.1385059319332076E-2</c:v>
                </c:pt>
                <c:pt idx="228">
                  <c:v>4.1203545901264835E-2</c:v>
                </c:pt>
                <c:pt idx="229">
                  <c:v>4.1023617753224384E-2</c:v>
                </c:pt>
                <c:pt idx="230">
                  <c:v>4.0845254197775578E-2</c:v>
                </c:pt>
                <c:pt idx="231">
                  <c:v>4.0668434915534138E-2</c:v>
                </c:pt>
                <c:pt idx="232">
                  <c:v>4.0493139937449935E-2</c:v>
                </c:pt>
                <c:pt idx="233">
                  <c:v>4.0319349637289205E-2</c:v>
                </c:pt>
                <c:pt idx="234">
                  <c:v>4.0147044724309341E-2</c:v>
                </c:pt>
                <c:pt idx="235">
                  <c:v>3.9976206236120797E-2</c:v>
                </c:pt>
                <c:pt idx="236">
                  <c:v>3.9806815531730461E-2</c:v>
                </c:pt>
                <c:pt idx="237">
                  <c:v>3.9638854284761139E-2</c:v>
                </c:pt>
                <c:pt idx="238">
                  <c:v>3.9472304476841982E-2</c:v>
                </c:pt>
                <c:pt idx="239">
                  <c:v>3.9307148391164816E-2</c:v>
                </c:pt>
                <c:pt idx="240">
                  <c:v>3.9143368606201635E-2</c:v>
                </c:pt>
                <c:pt idx="241">
                  <c:v>3.8980947989578393E-2</c:v>
                </c:pt>
                <c:pt idx="242">
                  <c:v>3.8819869692100793E-2</c:v>
                </c:pt>
                <c:pt idx="243">
                  <c:v>3.866011714192754E-2</c:v>
                </c:pt>
                <c:pt idx="244">
                  <c:v>3.8501674038886866E-2</c:v>
                </c:pt>
                <c:pt idx="245">
                  <c:v>3.8344524348932221E-2</c:v>
                </c:pt>
                <c:pt idx="246">
                  <c:v>3.8188652298733312E-2</c:v>
                </c:pt>
                <c:pt idx="247">
                  <c:v>3.8034042370398369E-2</c:v>
                </c:pt>
                <c:pt idx="248">
                  <c:v>3.7880679296324174E-2</c:v>
                </c:pt>
                <c:pt idx="249">
                  <c:v>3.7728548054170266E-2</c:v>
                </c:pt>
                <c:pt idx="250">
                  <c:v>3.7577633861953591E-2</c:v>
                </c:pt>
                <c:pt idx="251">
                  <c:v>3.7427922173260554E-2</c:v>
                </c:pt>
                <c:pt idx="252">
                  <c:v>3.7279398672573016E-2</c:v>
                </c:pt>
                <c:pt idx="253">
                  <c:v>3.7132049270705139E-2</c:v>
                </c:pt>
                <c:pt idx="254">
                  <c:v>3.6985860100348038E-2</c:v>
                </c:pt>
                <c:pt idx="255">
                  <c:v>3.684081751171922E-2</c:v>
                </c:pt>
                <c:pt idx="256">
                  <c:v>3.669690806831407E-2</c:v>
                </c:pt>
                <c:pt idx="257">
                  <c:v>3.6554118542756434E-2</c:v>
                </c:pt>
                <c:pt idx="258">
                  <c:v>3.6412435912745747E-2</c:v>
                </c:pt>
                <c:pt idx="259">
                  <c:v>3.627184735709809E-2</c:v>
                </c:pt>
                <c:pt idx="260">
                  <c:v>3.6132340251878482E-2</c:v>
                </c:pt>
                <c:pt idx="261">
                  <c:v>3.5993902166622238E-2</c:v>
                </c:pt>
                <c:pt idx="262">
                  <c:v>3.5856520860642775E-2</c:v>
                </c:pt>
                <c:pt idx="263">
                  <c:v>3.5720184279423604E-2</c:v>
                </c:pt>
                <c:pt idx="264">
                  <c:v>3.5584880551092449E-2</c:v>
                </c:pt>
                <c:pt idx="265">
                  <c:v>3.5450597982975125E-2</c:v>
                </c:pt>
                <c:pt idx="266">
                  <c:v>3.53173250582271E-2</c:v>
                </c:pt>
                <c:pt idx="267">
                  <c:v>3.518505043254086E-2</c:v>
                </c:pt>
                <c:pt idx="268">
                  <c:v>3.50537629309269E-2</c:v>
                </c:pt>
                <c:pt idx="269">
                  <c:v>3.4923451544566581E-2</c:v>
                </c:pt>
                <c:pt idx="270">
                  <c:v>3.479410542773486E-2</c:v>
                </c:pt>
                <c:pt idx="271">
                  <c:v>3.4665713894791186E-2</c:v>
                </c:pt>
                <c:pt idx="272">
                  <c:v>3.4538266417236813E-2</c:v>
                </c:pt>
                <c:pt idx="273">
                  <c:v>3.4411752620836678E-2</c:v>
                </c:pt>
                <c:pt idx="274">
                  <c:v>3.4286162282804428E-2</c:v>
                </c:pt>
                <c:pt idx="275">
                  <c:v>3.416148532904878E-2</c:v>
                </c:pt>
                <c:pt idx="276">
                  <c:v>3.4037711831479765E-2</c:v>
                </c:pt>
                <c:pt idx="277">
                  <c:v>3.391483200537334E-2</c:v>
                </c:pt>
                <c:pt idx="278">
                  <c:v>3.3792836206792853E-2</c:v>
                </c:pt>
                <c:pt idx="279">
                  <c:v>3.3671714930066002E-2</c:v>
                </c:pt>
                <c:pt idx="280">
                  <c:v>3.3551458805315772E-2</c:v>
                </c:pt>
                <c:pt idx="281">
                  <c:v>3.343205859604418E-2</c:v>
                </c:pt>
                <c:pt idx="282">
                  <c:v>3.3313505196767443E-2</c:v>
                </c:pt>
                <c:pt idx="283">
                  <c:v>3.319578963070112E-2</c:v>
                </c:pt>
                <c:pt idx="284">
                  <c:v>3.3078903047494439E-2</c:v>
                </c:pt>
                <c:pt idx="285">
                  <c:v>3.2962836721011995E-2</c:v>
                </c:pt>
                <c:pt idx="286">
                  <c:v>3.2847582047162302E-2</c:v>
                </c:pt>
                <c:pt idx="287">
                  <c:v>3.2733130541771502E-2</c:v>
                </c:pt>
                <c:pt idx="288">
                  <c:v>3.2619473838501452E-2</c:v>
                </c:pt>
                <c:pt idx="289">
                  <c:v>3.2506603686811145E-2</c:v>
                </c:pt>
                <c:pt idx="290">
                  <c:v>3.2394511949960077E-2</c:v>
                </c:pt>
                <c:pt idx="291">
                  <c:v>3.2283190603053E-2</c:v>
                </c:pt>
                <c:pt idx="292">
                  <c:v>3.217263173112473E-2</c:v>
                </c:pt>
                <c:pt idx="293">
                  <c:v>3.2062827527264248E-2</c:v>
                </c:pt>
                <c:pt idx="294">
                  <c:v>3.1953770290776957E-2</c:v>
                </c:pt>
                <c:pt idx="295">
                  <c:v>3.1845452425384481E-2</c:v>
                </c:pt>
                <c:pt idx="296">
                  <c:v>3.1737866437460897E-2</c:v>
                </c:pt>
                <c:pt idx="297">
                  <c:v>3.1631004934304471E-2</c:v>
                </c:pt>
                <c:pt idx="298">
                  <c:v>3.1524860622444383E-2</c:v>
                </c:pt>
                <c:pt idx="299">
                  <c:v>3.1419426305981359E-2</c:v>
                </c:pt>
                <c:pt idx="300">
                  <c:v>3.1314694884961421E-2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714-420C-9CD9-8692A49175B5}"/>
            </c:ext>
          </c:extLst>
        </c:ser>
        <c:ser>
          <c:idx val="0"/>
          <c:order val="1"/>
          <c:tx>
            <c:v>붕괴방지수준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dLbls>
            <c:dLbl>
              <c:idx val="16"/>
              <c:layout>
                <c:manualLayout>
                  <c:x val="-1.2731313939766273E-2"/>
                  <c:y val="-4.3943222588338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714-420C-9CD9-8692A49175B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X)'!$H$3:$H$303</c:f>
              <c:numCache>
                <c:formatCode>0.0000_ </c:formatCode>
                <c:ptCount val="301"/>
                <c:pt idx="0">
                  <c:v>0</c:v>
                </c:pt>
                <c:pt idx="1">
                  <c:v>4.3164100936208217E-3</c:v>
                </c:pt>
                <c:pt idx="2">
                  <c:v>1.187012775745726E-2</c:v>
                </c:pt>
                <c:pt idx="3">
                  <c:v>2.2661152991509309E-2</c:v>
                </c:pt>
                <c:pt idx="4">
                  <c:v>3.0214870655345744E-2</c:v>
                </c:pt>
                <c:pt idx="5">
                  <c:v>3.7768588319182179E-2</c:v>
                </c:pt>
                <c:pt idx="6">
                  <c:v>4.5322305983018618E-2</c:v>
                </c:pt>
                <c:pt idx="7">
                  <c:v>5.2876023646855064E-2</c:v>
                </c:pt>
                <c:pt idx="8">
                  <c:v>6.0429741310691489E-2</c:v>
                </c:pt>
                <c:pt idx="9">
                  <c:v>6.7983458974527913E-2</c:v>
                </c:pt>
                <c:pt idx="10">
                  <c:v>7.5537176638364359E-2</c:v>
                </c:pt>
                <c:pt idx="11">
                  <c:v>8.3090894302200791E-2</c:v>
                </c:pt>
                <c:pt idx="12">
                  <c:v>9.0644611966037222E-2</c:v>
                </c:pt>
                <c:pt idx="13">
                  <c:v>9.819832962987364E-2</c:v>
                </c:pt>
                <c:pt idx="14">
                  <c:v>0.10575204729371009</c:v>
                </c:pt>
                <c:pt idx="15">
                  <c:v>0.11330576495754652</c:v>
                </c:pt>
                <c:pt idx="16">
                  <c:v>0.11330576495754652</c:v>
                </c:pt>
                <c:pt idx="17">
                  <c:v>0.11330576495754652</c:v>
                </c:pt>
                <c:pt idx="18">
                  <c:v>0.11330576495754652</c:v>
                </c:pt>
                <c:pt idx="19">
                  <c:v>0.11330576495754653</c:v>
                </c:pt>
                <c:pt idx="20">
                  <c:v>0.1133057649575465</c:v>
                </c:pt>
                <c:pt idx="21">
                  <c:v>0.11330576495754653</c:v>
                </c:pt>
                <c:pt idx="22">
                  <c:v>0.11330576495754653</c:v>
                </c:pt>
                <c:pt idx="23">
                  <c:v>0.11330576495754653</c:v>
                </c:pt>
                <c:pt idx="24">
                  <c:v>0.1133057649575465</c:v>
                </c:pt>
                <c:pt idx="25">
                  <c:v>0.11330576495754653</c:v>
                </c:pt>
                <c:pt idx="26">
                  <c:v>0.11330576495754652</c:v>
                </c:pt>
                <c:pt idx="27">
                  <c:v>0.11330576495754652</c:v>
                </c:pt>
                <c:pt idx="28">
                  <c:v>0.11330576495754652</c:v>
                </c:pt>
                <c:pt idx="29">
                  <c:v>0.11330576495754652</c:v>
                </c:pt>
                <c:pt idx="30">
                  <c:v>0.11330576495754652</c:v>
                </c:pt>
                <c:pt idx="31">
                  <c:v>0.11330576495754652</c:v>
                </c:pt>
                <c:pt idx="32">
                  <c:v>0.11330576495754652</c:v>
                </c:pt>
                <c:pt idx="33">
                  <c:v>0.11330576495754653</c:v>
                </c:pt>
                <c:pt idx="34">
                  <c:v>0.11330576495754652</c:v>
                </c:pt>
                <c:pt idx="35">
                  <c:v>0.11330576495754652</c:v>
                </c:pt>
                <c:pt idx="36">
                  <c:v>0.11330576495754652</c:v>
                </c:pt>
                <c:pt idx="37">
                  <c:v>0.11330576495754653</c:v>
                </c:pt>
                <c:pt idx="38">
                  <c:v>0.11330576495754652</c:v>
                </c:pt>
                <c:pt idx="39">
                  <c:v>0.11330576495754652</c:v>
                </c:pt>
                <c:pt idx="40">
                  <c:v>0.11330576495754652</c:v>
                </c:pt>
                <c:pt idx="41">
                  <c:v>0.11330576495754653</c:v>
                </c:pt>
                <c:pt idx="42">
                  <c:v>0.11330576495754652</c:v>
                </c:pt>
                <c:pt idx="43">
                  <c:v>0.11330576495754652</c:v>
                </c:pt>
                <c:pt idx="44">
                  <c:v>0.11330576495754652</c:v>
                </c:pt>
                <c:pt idx="45">
                  <c:v>0.11330576495754653</c:v>
                </c:pt>
                <c:pt idx="46">
                  <c:v>0.11330576495754653</c:v>
                </c:pt>
                <c:pt idx="47">
                  <c:v>0.11330576495754652</c:v>
                </c:pt>
                <c:pt idx="48">
                  <c:v>0.1133057649575465</c:v>
                </c:pt>
                <c:pt idx="49">
                  <c:v>0.11330576495754652</c:v>
                </c:pt>
                <c:pt idx="50">
                  <c:v>0.1133057649575465</c:v>
                </c:pt>
                <c:pt idx="51">
                  <c:v>0.11330576495754652</c:v>
                </c:pt>
                <c:pt idx="52">
                  <c:v>0.11330576495754652</c:v>
                </c:pt>
                <c:pt idx="53">
                  <c:v>0.11330576495754653</c:v>
                </c:pt>
                <c:pt idx="54">
                  <c:v>0.11330576495754653</c:v>
                </c:pt>
                <c:pt idx="55">
                  <c:v>0.11330576495754653</c:v>
                </c:pt>
                <c:pt idx="56">
                  <c:v>0.11330576495754652</c:v>
                </c:pt>
                <c:pt idx="57">
                  <c:v>0.11330576495754653</c:v>
                </c:pt>
                <c:pt idx="58">
                  <c:v>0.11330576495754653</c:v>
                </c:pt>
                <c:pt idx="59">
                  <c:v>0.11330576495754652</c:v>
                </c:pt>
                <c:pt idx="60">
                  <c:v>0.11330576495754652</c:v>
                </c:pt>
                <c:pt idx="61">
                  <c:v>0.1133057649575465</c:v>
                </c:pt>
                <c:pt idx="62">
                  <c:v>0.11330576495754652</c:v>
                </c:pt>
                <c:pt idx="63">
                  <c:v>0.1133057649575465</c:v>
                </c:pt>
                <c:pt idx="64">
                  <c:v>0.11330576495754653</c:v>
                </c:pt>
                <c:pt idx="65">
                  <c:v>0.11330576495754652</c:v>
                </c:pt>
                <c:pt idx="66">
                  <c:v>0.11330576495754652</c:v>
                </c:pt>
                <c:pt idx="67">
                  <c:v>0.11330576495754652</c:v>
                </c:pt>
                <c:pt idx="68">
                  <c:v>0.11330576495754652</c:v>
                </c:pt>
                <c:pt idx="69">
                  <c:v>0.11330576495754652</c:v>
                </c:pt>
                <c:pt idx="70">
                  <c:v>0.11330576495754652</c:v>
                </c:pt>
                <c:pt idx="71">
                  <c:v>0.11330576495754652</c:v>
                </c:pt>
                <c:pt idx="72">
                  <c:v>0.11330576495754653</c:v>
                </c:pt>
                <c:pt idx="73">
                  <c:v>0.11330576495754653</c:v>
                </c:pt>
                <c:pt idx="74">
                  <c:v>0.11330576495754653</c:v>
                </c:pt>
                <c:pt idx="75">
                  <c:v>0.11330576495754652</c:v>
                </c:pt>
                <c:pt idx="76">
                  <c:v>0.11330576495754652</c:v>
                </c:pt>
                <c:pt idx="77">
                  <c:v>0.11330576495754653</c:v>
                </c:pt>
                <c:pt idx="78">
                  <c:v>0.11330576495754652</c:v>
                </c:pt>
                <c:pt idx="79">
                  <c:v>0.11330576495754652</c:v>
                </c:pt>
                <c:pt idx="80">
                  <c:v>0.11330576495754653</c:v>
                </c:pt>
                <c:pt idx="81">
                  <c:v>0.11330576495754653</c:v>
                </c:pt>
                <c:pt idx="82">
                  <c:v>0.11330576495754652</c:v>
                </c:pt>
                <c:pt idx="83">
                  <c:v>0.11330576495754652</c:v>
                </c:pt>
                <c:pt idx="84">
                  <c:v>0.11330576495754652</c:v>
                </c:pt>
                <c:pt idx="85">
                  <c:v>0.11330576495754652</c:v>
                </c:pt>
                <c:pt idx="86">
                  <c:v>0.11330576495754652</c:v>
                </c:pt>
                <c:pt idx="87">
                  <c:v>0.11330576495754652</c:v>
                </c:pt>
                <c:pt idx="88">
                  <c:v>0.11330576495754652</c:v>
                </c:pt>
                <c:pt idx="89">
                  <c:v>0.11330576495754653</c:v>
                </c:pt>
                <c:pt idx="90">
                  <c:v>0.11330576495754652</c:v>
                </c:pt>
                <c:pt idx="91">
                  <c:v>0.11330576495754653</c:v>
                </c:pt>
                <c:pt idx="92">
                  <c:v>0.11330576495754653</c:v>
                </c:pt>
                <c:pt idx="93">
                  <c:v>0.11330576495754652</c:v>
                </c:pt>
                <c:pt idx="94">
                  <c:v>0.11330576495754653</c:v>
                </c:pt>
                <c:pt idx="95">
                  <c:v>0.11330576495754652</c:v>
                </c:pt>
                <c:pt idx="96">
                  <c:v>0.11330576495754653</c:v>
                </c:pt>
                <c:pt idx="97">
                  <c:v>0.11330576495754653</c:v>
                </c:pt>
                <c:pt idx="98">
                  <c:v>0.11330576495754652</c:v>
                </c:pt>
                <c:pt idx="99">
                  <c:v>0.1133057649575465</c:v>
                </c:pt>
                <c:pt idx="100">
                  <c:v>0.11330576495754653</c:v>
                </c:pt>
                <c:pt idx="101">
                  <c:v>0.11330576495754652</c:v>
                </c:pt>
                <c:pt idx="102">
                  <c:v>0.11330576495754652</c:v>
                </c:pt>
                <c:pt idx="103">
                  <c:v>0.11330576495754652</c:v>
                </c:pt>
                <c:pt idx="104">
                  <c:v>0.11330576495754652</c:v>
                </c:pt>
                <c:pt idx="105">
                  <c:v>0.11330576495754652</c:v>
                </c:pt>
                <c:pt idx="106">
                  <c:v>0.11330576495754656</c:v>
                </c:pt>
                <c:pt idx="107">
                  <c:v>0.11330576495754652</c:v>
                </c:pt>
                <c:pt idx="108">
                  <c:v>0.11330576495754653</c:v>
                </c:pt>
                <c:pt idx="109">
                  <c:v>0.11330576495754652</c:v>
                </c:pt>
                <c:pt idx="110">
                  <c:v>0.11330576495754653</c:v>
                </c:pt>
                <c:pt idx="111">
                  <c:v>0.11330576495754653</c:v>
                </c:pt>
                <c:pt idx="112">
                  <c:v>0.11330576495754652</c:v>
                </c:pt>
                <c:pt idx="113">
                  <c:v>0.11330576495754652</c:v>
                </c:pt>
                <c:pt idx="114">
                  <c:v>0.11330576495754652</c:v>
                </c:pt>
                <c:pt idx="115">
                  <c:v>0.1133057649575465</c:v>
                </c:pt>
                <c:pt idx="116">
                  <c:v>0.11330576495754652</c:v>
                </c:pt>
                <c:pt idx="117">
                  <c:v>0.11330576495754656</c:v>
                </c:pt>
                <c:pt idx="118">
                  <c:v>0.11330576495754652</c:v>
                </c:pt>
                <c:pt idx="119">
                  <c:v>0.11330576495754652</c:v>
                </c:pt>
                <c:pt idx="120">
                  <c:v>0.11330576495754652</c:v>
                </c:pt>
                <c:pt idx="121">
                  <c:v>0.11330576495754652</c:v>
                </c:pt>
                <c:pt idx="122">
                  <c:v>0.11330576495754656</c:v>
                </c:pt>
                <c:pt idx="123">
                  <c:v>0.1133057649575465</c:v>
                </c:pt>
                <c:pt idx="124">
                  <c:v>0.11330576495754653</c:v>
                </c:pt>
                <c:pt idx="125">
                  <c:v>0.11330576495754653</c:v>
                </c:pt>
                <c:pt idx="126">
                  <c:v>0.11330576495754652</c:v>
                </c:pt>
                <c:pt idx="127">
                  <c:v>0.11330576495754652</c:v>
                </c:pt>
                <c:pt idx="128">
                  <c:v>0.11330576495754652</c:v>
                </c:pt>
                <c:pt idx="129">
                  <c:v>0.11330576495754652</c:v>
                </c:pt>
                <c:pt idx="130">
                  <c:v>0.11330576495754652</c:v>
                </c:pt>
                <c:pt idx="131">
                  <c:v>0.11330576495754653</c:v>
                </c:pt>
                <c:pt idx="132">
                  <c:v>0.11330576495754652</c:v>
                </c:pt>
                <c:pt idx="133">
                  <c:v>0.11330576495754653</c:v>
                </c:pt>
                <c:pt idx="134">
                  <c:v>0.11330576495754652</c:v>
                </c:pt>
                <c:pt idx="135">
                  <c:v>0.1133057649575465</c:v>
                </c:pt>
                <c:pt idx="136">
                  <c:v>0.11330576495754653</c:v>
                </c:pt>
                <c:pt idx="137">
                  <c:v>0.1133057649575465</c:v>
                </c:pt>
                <c:pt idx="138">
                  <c:v>0.11330576495754652</c:v>
                </c:pt>
                <c:pt idx="139">
                  <c:v>0.11330576495754652</c:v>
                </c:pt>
                <c:pt idx="140">
                  <c:v>0.1133057649575465</c:v>
                </c:pt>
                <c:pt idx="141">
                  <c:v>0.11330576495754652</c:v>
                </c:pt>
                <c:pt idx="142">
                  <c:v>0.11330576495754652</c:v>
                </c:pt>
                <c:pt idx="143">
                  <c:v>0.11330576495754652</c:v>
                </c:pt>
                <c:pt idx="144">
                  <c:v>0.11330576495754652</c:v>
                </c:pt>
                <c:pt idx="145">
                  <c:v>0.11330576495754652</c:v>
                </c:pt>
                <c:pt idx="146">
                  <c:v>0.11330576495754652</c:v>
                </c:pt>
                <c:pt idx="147">
                  <c:v>0.11330576495754652</c:v>
                </c:pt>
                <c:pt idx="148">
                  <c:v>0.11330576495754652</c:v>
                </c:pt>
                <c:pt idx="149">
                  <c:v>0.11330576495754653</c:v>
                </c:pt>
                <c:pt idx="150">
                  <c:v>0.11330576495754652</c:v>
                </c:pt>
                <c:pt idx="151">
                  <c:v>0.11255539565319181</c:v>
                </c:pt>
                <c:pt idx="152">
                  <c:v>0.11181489962915768</c:v>
                </c:pt>
                <c:pt idx="153">
                  <c:v>0.11108408329171221</c:v>
                </c:pt>
                <c:pt idx="154">
                  <c:v>0.11036275807553224</c:v>
                </c:pt>
                <c:pt idx="155">
                  <c:v>0.10965074028149659</c:v>
                </c:pt>
                <c:pt idx="156">
                  <c:v>0.10894785092071774</c:v>
                </c:pt>
                <c:pt idx="157">
                  <c:v>0.10825391556453483</c:v>
                </c:pt>
                <c:pt idx="158">
                  <c:v>0.10756876420020232</c:v>
                </c:pt>
                <c:pt idx="159">
                  <c:v>0.10689223109202493</c:v>
                </c:pt>
                <c:pt idx="160">
                  <c:v>0.10622415464769978</c:v>
                </c:pt>
                <c:pt idx="161">
                  <c:v>0.10556437728963955</c:v>
                </c:pt>
                <c:pt idx="162">
                  <c:v>0.10491274533106151</c:v>
                </c:pt>
                <c:pt idx="163">
                  <c:v>0.10426910885663782</c:v>
                </c:pt>
                <c:pt idx="164">
                  <c:v>0.10363332160751199</c:v>
                </c:pt>
                <c:pt idx="165">
                  <c:v>0.10300524087049677</c:v>
                </c:pt>
                <c:pt idx="166">
                  <c:v>0.10238472737127688</c:v>
                </c:pt>
                <c:pt idx="167">
                  <c:v>0.1017716451714489</c:v>
                </c:pt>
                <c:pt idx="168">
                  <c:v>0.10116586156923789</c:v>
                </c:pt>
                <c:pt idx="169">
                  <c:v>0.10056724700373942</c:v>
                </c:pt>
                <c:pt idx="170">
                  <c:v>9.9975674962540978E-2</c:v>
                </c:pt>
                <c:pt idx="171">
                  <c:v>9.9391021892584586E-2</c:v>
                </c:pt>
                <c:pt idx="172">
                  <c:v>9.881316711413933E-2</c:v>
                </c:pt>
                <c:pt idx="173">
                  <c:v>9.8241992737757036E-2</c:v>
                </c:pt>
                <c:pt idx="174">
                  <c:v>9.7677383584091754E-2</c:v>
                </c:pt>
                <c:pt idx="175">
                  <c:v>9.7119227106468378E-2</c:v>
                </c:pt>
                <c:pt idx="176">
                  <c:v>9.65674133160907E-2</c:v>
                </c:pt>
                <c:pt idx="177">
                  <c:v>9.602183470978512E-2</c:v>
                </c:pt>
                <c:pt idx="178">
                  <c:v>9.548238620017957E-2</c:v>
                </c:pt>
                <c:pt idx="179">
                  <c:v>9.4948965048223297E-2</c:v>
                </c:pt>
                <c:pt idx="180">
                  <c:v>9.4421470797955362E-2</c:v>
                </c:pt>
                <c:pt idx="181">
                  <c:v>9.3899805213436272E-2</c:v>
                </c:pt>
                <c:pt idx="182">
                  <c:v>9.3383872217758068E-2</c:v>
                </c:pt>
                <c:pt idx="183">
                  <c:v>9.2873577834054449E-2</c:v>
                </c:pt>
                <c:pt idx="184">
                  <c:v>9.2368830128434595E-2</c:v>
                </c:pt>
                <c:pt idx="185">
                  <c:v>9.1869539154767393E-2</c:v>
                </c:pt>
                <c:pt idx="186">
                  <c:v>9.1375616901247125E-2</c:v>
                </c:pt>
                <c:pt idx="187">
                  <c:v>9.0886977238673616E-2</c:v>
                </c:pt>
                <c:pt idx="188">
                  <c:v>9.0403535870382787E-2</c:v>
                </c:pt>
                <c:pt idx="189">
                  <c:v>8.9925210283767015E-2</c:v>
                </c:pt>
                <c:pt idx="190">
                  <c:v>8.9451919703326124E-2</c:v>
                </c:pt>
                <c:pt idx="191">
                  <c:v>8.8983585045193547E-2</c:v>
                </c:pt>
                <c:pt idx="192">
                  <c:v>8.8520128873083165E-2</c:v>
                </c:pt>
                <c:pt idx="193">
                  <c:v>8.8061475355606031E-2</c:v>
                </c:pt>
                <c:pt idx="194">
                  <c:v>8.760755022490703E-2</c:v>
                </c:pt>
                <c:pt idx="195">
                  <c:v>8.7158280736574195E-2</c:v>
                </c:pt>
                <c:pt idx="196">
                  <c:v>8.6713595630775339E-2</c:v>
                </c:pt>
                <c:pt idx="197">
                  <c:v>8.6273425094578499E-2</c:v>
                </c:pt>
                <c:pt idx="198">
                  <c:v>8.5837700725413968E-2</c:v>
                </c:pt>
                <c:pt idx="199">
                  <c:v>8.540635549563802E-2</c:v>
                </c:pt>
                <c:pt idx="200">
                  <c:v>8.4979323718159847E-2</c:v>
                </c:pt>
                <c:pt idx="201">
                  <c:v>8.4556541013094372E-2</c:v>
                </c:pt>
                <c:pt idx="202">
                  <c:v>8.4137944275405788E-2</c:v>
                </c:pt>
                <c:pt idx="203">
                  <c:v>8.3723471643507283E-2</c:v>
                </c:pt>
                <c:pt idx="204">
                  <c:v>8.3313062468784199E-2</c:v>
                </c:pt>
                <c:pt idx="205">
                  <c:v>8.2906657286009641E-2</c:v>
                </c:pt>
                <c:pt idx="206">
                  <c:v>8.2504197784621258E-2</c:v>
                </c:pt>
                <c:pt idx="207">
                  <c:v>8.2105626780830818E-2</c:v>
                </c:pt>
                <c:pt idx="208">
                  <c:v>8.1710888190538358E-2</c:v>
                </c:pt>
                <c:pt idx="209">
                  <c:v>8.1319927003023845E-2</c:v>
                </c:pt>
                <c:pt idx="210">
                  <c:v>8.0932689255390405E-2</c:v>
                </c:pt>
                <c:pt idx="211">
                  <c:v>8.0549122007734536E-2</c:v>
                </c:pt>
                <c:pt idx="212">
                  <c:v>8.0169173319018822E-2</c:v>
                </c:pt>
                <c:pt idx="213">
                  <c:v>7.979279222362437E-2</c:v>
                </c:pt>
                <c:pt idx="214">
                  <c:v>7.9419928708560697E-2</c:v>
                </c:pt>
                <c:pt idx="215">
                  <c:v>7.9050533691311611E-2</c:v>
                </c:pt>
                <c:pt idx="216">
                  <c:v>7.8684558998296281E-2</c:v>
                </c:pt>
                <c:pt idx="217">
                  <c:v>7.832195734392626E-2</c:v>
                </c:pt>
                <c:pt idx="218">
                  <c:v>7.7962682310238521E-2</c:v>
                </c:pt>
                <c:pt idx="219">
                  <c:v>7.7606688327086767E-2</c:v>
                </c:pt>
                <c:pt idx="220">
                  <c:v>7.7253930652872727E-2</c:v>
                </c:pt>
                <c:pt idx="221">
                  <c:v>7.6904365355800919E-2</c:v>
                </c:pt>
                <c:pt idx="222">
                  <c:v>7.655794929563968E-2</c:v>
                </c:pt>
                <c:pt idx="223">
                  <c:v>7.6214640105973105E-2</c:v>
                </c:pt>
                <c:pt idx="224">
                  <c:v>7.5874396176928607E-2</c:v>
                </c:pt>
                <c:pt idx="225">
                  <c:v>7.5537176638364484E-2</c:v>
                </c:pt>
                <c:pt idx="226">
                  <c:v>7.520294134350447E-2</c:v>
                </c:pt>
                <c:pt idx="227">
                  <c:v>7.4871650853004457E-2</c:v>
                </c:pt>
                <c:pt idx="228">
                  <c:v>7.4543266419438647E-2</c:v>
                </c:pt>
                <c:pt idx="229">
                  <c:v>7.4217749972192215E-2</c:v>
                </c:pt>
                <c:pt idx="230">
                  <c:v>7.3895064102747904E-2</c:v>
                </c:pt>
                <c:pt idx="231">
                  <c:v>7.3575172050355062E-2</c:v>
                </c:pt>
                <c:pt idx="232">
                  <c:v>7.3258037688069072E-2</c:v>
                </c:pt>
                <c:pt idx="233">
                  <c:v>7.2943625509150289E-2</c:v>
                </c:pt>
                <c:pt idx="234">
                  <c:v>7.2631900613812056E-2</c:v>
                </c:pt>
                <c:pt idx="235">
                  <c:v>7.2322828696306476E-2</c:v>
                </c:pt>
                <c:pt idx="236">
                  <c:v>7.2016376032339097E-2</c:v>
                </c:pt>
                <c:pt idx="237">
                  <c:v>7.1712509466801799E-2</c:v>
                </c:pt>
                <c:pt idx="238">
                  <c:v>7.1411196401815244E-2</c:v>
                </c:pt>
                <c:pt idx="239">
                  <c:v>7.1112404785071248E-2</c:v>
                </c:pt>
                <c:pt idx="240">
                  <c:v>7.0816103098466796E-2</c:v>
                </c:pt>
                <c:pt idx="241">
                  <c:v>7.0522260347020888E-2</c:v>
                </c:pt>
                <c:pt idx="242">
                  <c:v>7.0230846048066245E-2</c:v>
                </c:pt>
                <c:pt idx="243">
                  <c:v>6.9941830220707962E-2</c:v>
                </c:pt>
                <c:pt idx="244">
                  <c:v>6.9655183375541121E-2</c:v>
                </c:pt>
                <c:pt idx="245">
                  <c:v>6.9370876504620552E-2</c:v>
                </c:pt>
                <c:pt idx="246">
                  <c:v>6.9088881071674949E-2</c:v>
                </c:pt>
                <c:pt idx="247">
                  <c:v>6.8809169002558859E-2</c:v>
                </c:pt>
                <c:pt idx="248">
                  <c:v>6.8531712675935635E-2</c:v>
                </c:pt>
                <c:pt idx="249">
                  <c:v>6.8256484914184901E-2</c:v>
                </c:pt>
                <c:pt idx="250">
                  <c:v>6.7983458974528163E-2</c:v>
                </c:pt>
                <c:pt idx="251">
                  <c:v>6.7712608540366703E-2</c:v>
                </c:pt>
                <c:pt idx="252">
                  <c:v>6.7443907712825574E-2</c:v>
                </c:pt>
                <c:pt idx="253">
                  <c:v>6.7177331002498203E-2</c:v>
                </c:pt>
                <c:pt idx="254">
                  <c:v>6.6912853321386009E-2</c:v>
                </c:pt>
                <c:pt idx="255">
                  <c:v>6.6650449975027629E-2</c:v>
                </c:pt>
                <c:pt idx="256">
                  <c:v>6.6390096654812686E-2</c:v>
                </c:pt>
                <c:pt idx="257">
                  <c:v>6.6131769430474899E-2</c:v>
                </c:pt>
                <c:pt idx="258">
                  <c:v>6.5875444742759887E-2</c:v>
                </c:pt>
                <c:pt idx="259">
                  <c:v>6.5621099396262747E-2</c:v>
                </c:pt>
                <c:pt idx="260">
                  <c:v>6.5368710552430986E-2</c:v>
                </c:pt>
                <c:pt idx="261">
                  <c:v>6.5118255722728183E-2</c:v>
                </c:pt>
                <c:pt idx="262">
                  <c:v>6.4869712761954398E-2</c:v>
                </c:pt>
                <c:pt idx="263">
                  <c:v>6.462305986171886E-2</c:v>
                </c:pt>
                <c:pt idx="264">
                  <c:v>6.4378275544060837E-2</c:v>
                </c:pt>
                <c:pt idx="265">
                  <c:v>6.4135338655215313E-2</c:v>
                </c:pt>
                <c:pt idx="266">
                  <c:v>6.3894228359519037E-2</c:v>
                </c:pt>
                <c:pt idx="267">
                  <c:v>6.3654924133453403E-2</c:v>
                </c:pt>
                <c:pt idx="268">
                  <c:v>6.3417405759821119E-2</c:v>
                </c:pt>
                <c:pt idx="269">
                  <c:v>6.3181653322052292E-2</c:v>
                </c:pt>
                <c:pt idx="270">
                  <c:v>6.2947647198637283E-2</c:v>
                </c:pt>
                <c:pt idx="271">
                  <c:v>6.2715368057682894E-2</c:v>
                </c:pt>
                <c:pt idx="272">
                  <c:v>6.2484796851588476E-2</c:v>
                </c:pt>
                <c:pt idx="273">
                  <c:v>6.2255914811839085E-2</c:v>
                </c:pt>
                <c:pt idx="274">
                  <c:v>6.2028703443912668E-2</c:v>
                </c:pt>
                <c:pt idx="275">
                  <c:v>6.1803144522298431E-2</c:v>
                </c:pt>
                <c:pt idx="276">
                  <c:v>6.1579220085623443E-2</c:v>
                </c:pt>
                <c:pt idx="277">
                  <c:v>6.1356912431884722E-2</c:v>
                </c:pt>
                <c:pt idx="278">
                  <c:v>6.1136204113784426E-2</c:v>
                </c:pt>
                <c:pt idx="279">
                  <c:v>6.0917077934165141E-2</c:v>
                </c:pt>
                <c:pt idx="280">
                  <c:v>6.0699516941543123E-2</c:v>
                </c:pt>
                <c:pt idx="281">
                  <c:v>6.0483504425736911E-2</c:v>
                </c:pt>
                <c:pt idx="282">
                  <c:v>6.0269023913588918E-2</c:v>
                </c:pt>
                <c:pt idx="283">
                  <c:v>6.0056059164777645E-2</c:v>
                </c:pt>
                <c:pt idx="284">
                  <c:v>5.9844594167718583E-2</c:v>
                </c:pt>
                <c:pt idx="285">
                  <c:v>5.963461313555115E-2</c:v>
                </c:pt>
                <c:pt idx="286">
                  <c:v>5.9426100502210068E-2</c:v>
                </c:pt>
                <c:pt idx="287">
                  <c:v>5.9219040918578686E-2</c:v>
                </c:pt>
                <c:pt idx="288">
                  <c:v>5.9013419248722505E-2</c:v>
                </c:pt>
                <c:pt idx="289">
                  <c:v>5.880922056620097E-2</c:v>
                </c:pt>
                <c:pt idx="290">
                  <c:v>5.8606430150455455E-2</c:v>
                </c:pt>
                <c:pt idx="291">
                  <c:v>5.8405033483271772E-2</c:v>
                </c:pt>
                <c:pt idx="292">
                  <c:v>5.8205016245315357E-2</c:v>
                </c:pt>
                <c:pt idx="293">
                  <c:v>5.8006364312737493E-2</c:v>
                </c:pt>
                <c:pt idx="294">
                  <c:v>5.7809063753850642E-2</c:v>
                </c:pt>
                <c:pt idx="295">
                  <c:v>5.761310082587149E-2</c:v>
                </c:pt>
                <c:pt idx="296">
                  <c:v>5.7418461971730034E-2</c:v>
                </c:pt>
                <c:pt idx="297">
                  <c:v>5.7225133816943073E-2</c:v>
                </c:pt>
                <c:pt idx="298">
                  <c:v>5.7033103166550643E-2</c:v>
                </c:pt>
                <c:pt idx="299">
                  <c:v>5.6842357002114013E-2</c:v>
                </c:pt>
                <c:pt idx="300">
                  <c:v>5.665288247877364E-2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714-420C-9CD9-8692A4917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318528"/>
        <c:axId val="221315648"/>
      </c:scatterChart>
      <c:valAx>
        <c:axId val="221318528"/>
        <c:scaling>
          <c:orientation val="minMax"/>
          <c:max val="4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layout/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315648"/>
        <c:crosses val="autoZero"/>
        <c:crossBetween val="midCat"/>
      </c:valAx>
      <c:valAx>
        <c:axId val="221315648"/>
        <c:scaling>
          <c:orientation val="minMax"/>
          <c:max val="0.18000000000000002"/>
          <c:min val="0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Velocity (S</a:t>
                </a:r>
                <a:r>
                  <a:rPr lang="en-US" altLang="ko-KR" baseline="-25000"/>
                  <a:t>v</a:t>
                </a:r>
                <a:r>
                  <a:rPr lang="en-US" altLang="ko-KR"/>
                  <a:t>, m/s)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318528"/>
        <c:crosses val="autoZero"/>
        <c:crossBetween val="midCat"/>
        <c:majorUnit val="3.0000000000000006E-2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752321428571425"/>
          <c:y val="0.13990030864197531"/>
          <c:w val="0.27718511904761906"/>
          <c:h val="0.14176111111111112"/>
        </c:manualLayout>
      </c:layout>
      <c:overlay val="0"/>
      <c:spPr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c:sp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Velocity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4574800194654187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1"/>
          <c:order val="0"/>
          <c:tx>
            <c:v>기능수행수준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dLbls>
            <c:dLbl>
              <c:idx val="16"/>
              <c:layout>
                <c:manualLayout>
                  <c:x val="-1.5119047619047666E-2"/>
                  <c:y val="-3.58311829333537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15-4C29-81D3-5043B14DEA2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X)'!$D$3:$D$303</c:f>
              <c:numCache>
                <c:formatCode>0.0000_ </c:formatCode>
                <c:ptCount val="301"/>
                <c:pt idx="0">
                  <c:v>0</c:v>
                </c:pt>
                <c:pt idx="1">
                  <c:v>2.3858815150446639E-3</c:v>
                </c:pt>
                <c:pt idx="2">
                  <c:v>6.5611741663728256E-3</c:v>
                </c:pt>
                <c:pt idx="3">
                  <c:v>1.2525877953984483E-2</c:v>
                </c:pt>
                <c:pt idx="4">
                  <c:v>1.6701170605312649E-2</c:v>
                </c:pt>
                <c:pt idx="5">
                  <c:v>2.0876463256640804E-2</c:v>
                </c:pt>
                <c:pt idx="6">
                  <c:v>2.5051755907968969E-2</c:v>
                </c:pt>
                <c:pt idx="7">
                  <c:v>2.9227048559297131E-2</c:v>
                </c:pt>
                <c:pt idx="8">
                  <c:v>3.3402341210625297E-2</c:v>
                </c:pt>
                <c:pt idx="9">
                  <c:v>3.7577633861953445E-2</c:v>
                </c:pt>
                <c:pt idx="10">
                  <c:v>4.1752926513281607E-2</c:v>
                </c:pt>
                <c:pt idx="11">
                  <c:v>4.592821916460977E-2</c:v>
                </c:pt>
                <c:pt idx="12">
                  <c:v>5.0103511815937932E-2</c:v>
                </c:pt>
                <c:pt idx="13">
                  <c:v>5.4278804467266087E-2</c:v>
                </c:pt>
                <c:pt idx="14">
                  <c:v>5.8454097118594242E-2</c:v>
                </c:pt>
                <c:pt idx="15">
                  <c:v>6.2629389769922411E-2</c:v>
                </c:pt>
                <c:pt idx="16">
                  <c:v>6.2629389769922425E-2</c:v>
                </c:pt>
                <c:pt idx="17">
                  <c:v>6.2629389769922425E-2</c:v>
                </c:pt>
                <c:pt idx="18">
                  <c:v>6.2629389769922425E-2</c:v>
                </c:pt>
                <c:pt idx="19">
                  <c:v>6.2629389769922425E-2</c:v>
                </c:pt>
                <c:pt idx="20">
                  <c:v>6.2629389769922411E-2</c:v>
                </c:pt>
                <c:pt idx="21">
                  <c:v>6.2629389769922425E-2</c:v>
                </c:pt>
                <c:pt idx="22">
                  <c:v>6.2629389769922411E-2</c:v>
                </c:pt>
                <c:pt idx="23">
                  <c:v>6.2629389769922425E-2</c:v>
                </c:pt>
                <c:pt idx="24">
                  <c:v>6.2629389769922411E-2</c:v>
                </c:pt>
                <c:pt idx="25">
                  <c:v>6.2629389769922411E-2</c:v>
                </c:pt>
                <c:pt idx="26">
                  <c:v>6.2629389769922425E-2</c:v>
                </c:pt>
                <c:pt idx="27">
                  <c:v>6.2629389769922411E-2</c:v>
                </c:pt>
                <c:pt idx="28">
                  <c:v>6.2629389769922425E-2</c:v>
                </c:pt>
                <c:pt idx="29">
                  <c:v>6.2629389769922411E-2</c:v>
                </c:pt>
                <c:pt idx="30">
                  <c:v>6.2629389769922411E-2</c:v>
                </c:pt>
                <c:pt idx="31">
                  <c:v>6.2629389769922411E-2</c:v>
                </c:pt>
                <c:pt idx="32">
                  <c:v>6.2629389769922411E-2</c:v>
                </c:pt>
                <c:pt idx="33">
                  <c:v>6.2629389769922425E-2</c:v>
                </c:pt>
                <c:pt idx="34">
                  <c:v>6.2629389769922425E-2</c:v>
                </c:pt>
                <c:pt idx="35">
                  <c:v>6.2629389769922425E-2</c:v>
                </c:pt>
                <c:pt idx="36">
                  <c:v>6.2629389769922425E-2</c:v>
                </c:pt>
                <c:pt idx="37">
                  <c:v>6.2629389769922425E-2</c:v>
                </c:pt>
                <c:pt idx="38">
                  <c:v>6.2629389769922411E-2</c:v>
                </c:pt>
                <c:pt idx="39">
                  <c:v>6.2629389769922425E-2</c:v>
                </c:pt>
                <c:pt idx="40">
                  <c:v>6.2629389769922425E-2</c:v>
                </c:pt>
                <c:pt idx="41">
                  <c:v>6.2629389769922425E-2</c:v>
                </c:pt>
                <c:pt idx="42">
                  <c:v>6.2629389769922425E-2</c:v>
                </c:pt>
                <c:pt idx="43">
                  <c:v>6.2629389769922425E-2</c:v>
                </c:pt>
                <c:pt idx="44">
                  <c:v>6.2629389769922411E-2</c:v>
                </c:pt>
                <c:pt idx="45">
                  <c:v>6.2629389769922425E-2</c:v>
                </c:pt>
                <c:pt idx="46">
                  <c:v>6.2629389769922425E-2</c:v>
                </c:pt>
                <c:pt idx="47">
                  <c:v>6.2629389769922425E-2</c:v>
                </c:pt>
                <c:pt idx="48">
                  <c:v>6.2629389769922411E-2</c:v>
                </c:pt>
                <c:pt idx="49">
                  <c:v>6.2629389769922425E-2</c:v>
                </c:pt>
                <c:pt idx="50">
                  <c:v>6.2629389769922425E-2</c:v>
                </c:pt>
                <c:pt idx="51">
                  <c:v>6.2629389769922411E-2</c:v>
                </c:pt>
                <c:pt idx="52">
                  <c:v>6.2629389769922411E-2</c:v>
                </c:pt>
                <c:pt idx="53">
                  <c:v>6.2629389769922411E-2</c:v>
                </c:pt>
                <c:pt idx="54">
                  <c:v>6.2629389769922425E-2</c:v>
                </c:pt>
                <c:pt idx="55">
                  <c:v>6.2629389769922425E-2</c:v>
                </c:pt>
                <c:pt idx="56">
                  <c:v>6.2629389769922425E-2</c:v>
                </c:pt>
                <c:pt idx="57">
                  <c:v>6.2629389769922425E-2</c:v>
                </c:pt>
                <c:pt idx="58">
                  <c:v>6.2629389769922425E-2</c:v>
                </c:pt>
                <c:pt idx="59">
                  <c:v>6.2629389769922411E-2</c:v>
                </c:pt>
                <c:pt idx="60">
                  <c:v>6.2629389769922411E-2</c:v>
                </c:pt>
                <c:pt idx="61">
                  <c:v>6.2629389769922425E-2</c:v>
                </c:pt>
                <c:pt idx="62">
                  <c:v>6.2629389769922411E-2</c:v>
                </c:pt>
                <c:pt idx="63">
                  <c:v>6.2629389769922425E-2</c:v>
                </c:pt>
                <c:pt idx="64">
                  <c:v>6.2629389769922411E-2</c:v>
                </c:pt>
                <c:pt idx="65">
                  <c:v>6.2629389769922411E-2</c:v>
                </c:pt>
                <c:pt idx="66">
                  <c:v>6.2629389769922425E-2</c:v>
                </c:pt>
                <c:pt idx="67">
                  <c:v>6.2629389769922411E-2</c:v>
                </c:pt>
                <c:pt idx="68">
                  <c:v>6.2629389769922425E-2</c:v>
                </c:pt>
                <c:pt idx="69">
                  <c:v>6.2629389769922411E-2</c:v>
                </c:pt>
                <c:pt idx="70">
                  <c:v>6.2629389769922425E-2</c:v>
                </c:pt>
                <c:pt idx="71">
                  <c:v>6.2629389769922425E-2</c:v>
                </c:pt>
                <c:pt idx="72">
                  <c:v>6.2629389769922411E-2</c:v>
                </c:pt>
                <c:pt idx="73">
                  <c:v>6.2629389769922425E-2</c:v>
                </c:pt>
                <c:pt idx="74">
                  <c:v>6.2629389769922411E-2</c:v>
                </c:pt>
                <c:pt idx="75">
                  <c:v>6.2629389769922411E-2</c:v>
                </c:pt>
                <c:pt idx="76">
                  <c:v>6.2629389769922411E-2</c:v>
                </c:pt>
                <c:pt idx="77">
                  <c:v>6.2629389769922425E-2</c:v>
                </c:pt>
                <c:pt idx="78">
                  <c:v>6.2629389769922411E-2</c:v>
                </c:pt>
                <c:pt idx="79">
                  <c:v>6.2629389769922425E-2</c:v>
                </c:pt>
                <c:pt idx="80">
                  <c:v>6.2629389769922425E-2</c:v>
                </c:pt>
                <c:pt idx="81">
                  <c:v>6.2629389769922439E-2</c:v>
                </c:pt>
                <c:pt idx="82">
                  <c:v>6.2629389769922411E-2</c:v>
                </c:pt>
                <c:pt idx="83">
                  <c:v>6.2629389769922425E-2</c:v>
                </c:pt>
                <c:pt idx="84">
                  <c:v>6.2629389769922411E-2</c:v>
                </c:pt>
                <c:pt idx="85">
                  <c:v>6.2629389769922425E-2</c:v>
                </c:pt>
                <c:pt idx="86">
                  <c:v>6.2629389769922425E-2</c:v>
                </c:pt>
                <c:pt idx="87">
                  <c:v>6.2629389769922411E-2</c:v>
                </c:pt>
                <c:pt idx="88">
                  <c:v>6.2629389769922425E-2</c:v>
                </c:pt>
                <c:pt idx="89">
                  <c:v>6.2629389769922439E-2</c:v>
                </c:pt>
                <c:pt idx="90">
                  <c:v>6.2629389769922411E-2</c:v>
                </c:pt>
                <c:pt idx="91">
                  <c:v>6.2629389769922411E-2</c:v>
                </c:pt>
                <c:pt idx="92">
                  <c:v>6.2629389769922439E-2</c:v>
                </c:pt>
                <c:pt idx="93">
                  <c:v>6.2629389769922411E-2</c:v>
                </c:pt>
                <c:pt idx="94">
                  <c:v>6.2629389769922425E-2</c:v>
                </c:pt>
                <c:pt idx="95">
                  <c:v>6.2629389769922425E-2</c:v>
                </c:pt>
                <c:pt idx="96">
                  <c:v>6.2629389769922425E-2</c:v>
                </c:pt>
                <c:pt idx="97">
                  <c:v>6.2629389769922425E-2</c:v>
                </c:pt>
                <c:pt idx="98">
                  <c:v>6.2629389769922411E-2</c:v>
                </c:pt>
                <c:pt idx="99">
                  <c:v>6.2629389769922411E-2</c:v>
                </c:pt>
                <c:pt idx="100">
                  <c:v>6.2629389769922439E-2</c:v>
                </c:pt>
                <c:pt idx="101">
                  <c:v>6.2629389769922411E-2</c:v>
                </c:pt>
                <c:pt idx="102">
                  <c:v>6.2629389769922411E-2</c:v>
                </c:pt>
                <c:pt idx="103">
                  <c:v>6.2629389769922425E-2</c:v>
                </c:pt>
                <c:pt idx="104">
                  <c:v>6.2629389769922425E-2</c:v>
                </c:pt>
                <c:pt idx="105">
                  <c:v>6.2629389769922425E-2</c:v>
                </c:pt>
                <c:pt idx="106">
                  <c:v>6.2629389769922425E-2</c:v>
                </c:pt>
                <c:pt idx="107">
                  <c:v>6.2629389769922425E-2</c:v>
                </c:pt>
                <c:pt idx="108">
                  <c:v>6.2629389769922425E-2</c:v>
                </c:pt>
                <c:pt idx="109">
                  <c:v>6.2629389769922411E-2</c:v>
                </c:pt>
                <c:pt idx="110">
                  <c:v>6.2629389769922425E-2</c:v>
                </c:pt>
                <c:pt idx="111">
                  <c:v>6.2629389769922425E-2</c:v>
                </c:pt>
                <c:pt idx="112">
                  <c:v>6.2629389769922411E-2</c:v>
                </c:pt>
                <c:pt idx="113">
                  <c:v>6.2629389769922425E-2</c:v>
                </c:pt>
                <c:pt idx="114">
                  <c:v>6.2629389769922425E-2</c:v>
                </c:pt>
                <c:pt idx="115">
                  <c:v>6.2629389769922411E-2</c:v>
                </c:pt>
                <c:pt idx="116">
                  <c:v>6.2629389769922425E-2</c:v>
                </c:pt>
                <c:pt idx="117">
                  <c:v>6.2629389769922425E-2</c:v>
                </c:pt>
                <c:pt idx="118">
                  <c:v>6.2629389769922411E-2</c:v>
                </c:pt>
                <c:pt idx="119">
                  <c:v>6.2629389769922425E-2</c:v>
                </c:pt>
                <c:pt idx="120">
                  <c:v>6.2629389769922425E-2</c:v>
                </c:pt>
                <c:pt idx="121">
                  <c:v>6.2629389769922411E-2</c:v>
                </c:pt>
                <c:pt idx="122">
                  <c:v>6.2629389769922425E-2</c:v>
                </c:pt>
                <c:pt idx="123">
                  <c:v>6.2629389769922411E-2</c:v>
                </c:pt>
                <c:pt idx="124">
                  <c:v>6.2629389769922411E-2</c:v>
                </c:pt>
                <c:pt idx="125">
                  <c:v>6.2629389769922425E-2</c:v>
                </c:pt>
                <c:pt idx="126">
                  <c:v>6.2629389769922425E-2</c:v>
                </c:pt>
                <c:pt idx="127">
                  <c:v>6.2629389769922425E-2</c:v>
                </c:pt>
                <c:pt idx="128">
                  <c:v>6.2629389769922425E-2</c:v>
                </c:pt>
                <c:pt idx="129">
                  <c:v>6.2629389769922425E-2</c:v>
                </c:pt>
                <c:pt idx="130">
                  <c:v>6.2629389769922411E-2</c:v>
                </c:pt>
                <c:pt idx="131">
                  <c:v>6.2629389769922425E-2</c:v>
                </c:pt>
                <c:pt idx="132">
                  <c:v>6.2629389769922425E-2</c:v>
                </c:pt>
                <c:pt idx="133">
                  <c:v>6.2629389769922425E-2</c:v>
                </c:pt>
                <c:pt idx="134">
                  <c:v>6.2629389769922411E-2</c:v>
                </c:pt>
                <c:pt idx="135">
                  <c:v>6.2629389769922411E-2</c:v>
                </c:pt>
                <c:pt idx="136">
                  <c:v>6.2629389769922425E-2</c:v>
                </c:pt>
                <c:pt idx="137">
                  <c:v>6.2629389769922425E-2</c:v>
                </c:pt>
                <c:pt idx="138">
                  <c:v>6.2629389769922411E-2</c:v>
                </c:pt>
                <c:pt idx="139">
                  <c:v>6.2629389769922411E-2</c:v>
                </c:pt>
                <c:pt idx="140">
                  <c:v>6.2629389769922411E-2</c:v>
                </c:pt>
                <c:pt idx="141">
                  <c:v>6.2629389769922425E-2</c:v>
                </c:pt>
                <c:pt idx="142">
                  <c:v>6.2629389769922425E-2</c:v>
                </c:pt>
                <c:pt idx="143">
                  <c:v>6.2629389769922439E-2</c:v>
                </c:pt>
                <c:pt idx="144">
                  <c:v>6.2629389769922425E-2</c:v>
                </c:pt>
                <c:pt idx="145">
                  <c:v>6.2629389769922411E-2</c:v>
                </c:pt>
                <c:pt idx="146">
                  <c:v>6.2629389769922425E-2</c:v>
                </c:pt>
                <c:pt idx="147">
                  <c:v>6.2629389769922425E-2</c:v>
                </c:pt>
                <c:pt idx="148">
                  <c:v>6.2629389769922425E-2</c:v>
                </c:pt>
                <c:pt idx="149">
                  <c:v>6.2629389769922425E-2</c:v>
                </c:pt>
                <c:pt idx="150">
                  <c:v>6.2629389769922439E-2</c:v>
                </c:pt>
                <c:pt idx="151">
                  <c:v>6.221462559926063E-2</c:v>
                </c:pt>
                <c:pt idx="152">
                  <c:v>6.1805318851897086E-2</c:v>
                </c:pt>
                <c:pt idx="153">
                  <c:v>6.1401362519531752E-2</c:v>
                </c:pt>
                <c:pt idx="154">
                  <c:v>6.1002652373301006E-2</c:v>
                </c:pt>
                <c:pt idx="155">
                  <c:v>6.0609086874118423E-2</c:v>
                </c:pt>
                <c:pt idx="156">
                  <c:v>6.0220567086463811E-2</c:v>
                </c:pt>
                <c:pt idx="157">
                  <c:v>5.9836996595467241E-2</c:v>
                </c:pt>
                <c:pt idx="158">
                  <c:v>5.9458281427141484E-2</c:v>
                </c:pt>
                <c:pt idx="159">
                  <c:v>5.9084329971624883E-2</c:v>
                </c:pt>
                <c:pt idx="160">
                  <c:v>5.8715052909302227E-2</c:v>
                </c:pt>
                <c:pt idx="161">
                  <c:v>5.8350363139679236E-2</c:v>
                </c:pt>
                <c:pt idx="162">
                  <c:v>5.7990175712891077E-2</c:v>
                </c:pt>
                <c:pt idx="163">
                  <c:v>5.7634407763732236E-2</c:v>
                </c:pt>
                <c:pt idx="164">
                  <c:v>5.7282978448099729E-2</c:v>
                </c:pt>
                <c:pt idx="165">
                  <c:v>5.693580888174761E-2</c:v>
                </c:pt>
                <c:pt idx="166">
                  <c:v>5.6592822081255156E-2</c:v>
                </c:pt>
                <c:pt idx="167">
                  <c:v>5.6253942907115904E-2</c:v>
                </c:pt>
                <c:pt idx="168">
                  <c:v>5.5919098008859268E-2</c:v>
                </c:pt>
                <c:pt idx="169">
                  <c:v>5.5588215772120447E-2</c:v>
                </c:pt>
                <c:pt idx="170">
                  <c:v>5.5261226267578574E-2</c:v>
                </c:pt>
                <c:pt idx="171">
                  <c:v>5.4938061201686296E-2</c:v>
                </c:pt>
                <c:pt idx="172">
                  <c:v>5.461865386911835E-2</c:v>
                </c:pt>
                <c:pt idx="173">
                  <c:v>5.4302939106869112E-2</c:v>
                </c:pt>
                <c:pt idx="174">
                  <c:v>5.3990853249933093E-2</c:v>
                </c:pt>
                <c:pt idx="175">
                  <c:v>5.3682334088504882E-2</c:v>
                </c:pt>
                <c:pt idx="176">
                  <c:v>5.3377320826638389E-2</c:v>
                </c:pt>
                <c:pt idx="177">
                  <c:v>5.3075754042307098E-2</c:v>
                </c:pt>
                <c:pt idx="178">
                  <c:v>5.2777575648810991E-2</c:v>
                </c:pt>
                <c:pt idx="179">
                  <c:v>5.2482728857476853E-2</c:v>
                </c:pt>
                <c:pt idx="180">
                  <c:v>5.2191158141601975E-2</c:v>
                </c:pt>
                <c:pt idx="181">
                  <c:v>5.1902809201593118E-2</c:v>
                </c:pt>
                <c:pt idx="182">
                  <c:v>5.1617628931254704E-2</c:v>
                </c:pt>
                <c:pt idx="183">
                  <c:v>5.1335565385182275E-2</c:v>
                </c:pt>
                <c:pt idx="184">
                  <c:v>5.1056567747219332E-2</c:v>
                </c:pt>
                <c:pt idx="185">
                  <c:v>5.0780586299937057E-2</c:v>
                </c:pt>
                <c:pt idx="186">
                  <c:v>5.050757239509869E-2</c:v>
                </c:pt>
                <c:pt idx="187">
                  <c:v>5.0237478425071418E-2</c:v>
                </c:pt>
                <c:pt idx="188">
                  <c:v>4.9970257795150831E-2</c:v>
                </c:pt>
                <c:pt idx="189">
                  <c:v>4.9705864896763784E-2</c:v>
                </c:pt>
                <c:pt idx="190">
                  <c:v>4.9444255081517667E-2</c:v>
                </c:pt>
                <c:pt idx="191">
                  <c:v>4.9185384636064686E-2</c:v>
                </c:pt>
                <c:pt idx="192">
                  <c:v>4.8929210757751862E-2</c:v>
                </c:pt>
                <c:pt idx="193">
                  <c:v>4.8675691531027757E-2</c:v>
                </c:pt>
                <c:pt idx="194">
                  <c:v>4.8424785904579146E-2</c:v>
                </c:pt>
                <c:pt idx="195">
                  <c:v>4.817645366917106E-2</c:v>
                </c:pt>
                <c:pt idx="196">
                  <c:v>4.7930655436165079E-2</c:v>
                </c:pt>
                <c:pt idx="197">
                  <c:v>4.7687352616692158E-2</c:v>
                </c:pt>
                <c:pt idx="198">
                  <c:v>4.744650740145636E-2</c:v>
                </c:pt>
                <c:pt idx="199">
                  <c:v>4.7208082741147524E-2</c:v>
                </c:pt>
                <c:pt idx="200">
                  <c:v>4.6972042327441781E-2</c:v>
                </c:pt>
                <c:pt idx="201">
                  <c:v>4.6738350574568946E-2</c:v>
                </c:pt>
                <c:pt idx="202">
                  <c:v>4.6506972601427526E-2</c:v>
                </c:pt>
                <c:pt idx="203">
                  <c:v>4.6277874214228382E-2</c:v>
                </c:pt>
                <c:pt idx="204">
                  <c:v>4.6051021889648831E-2</c:v>
                </c:pt>
                <c:pt idx="205">
                  <c:v>4.5826382758479813E-2</c:v>
                </c:pt>
                <c:pt idx="206">
                  <c:v>4.5603924589749344E-2</c:v>
                </c:pt>
                <c:pt idx="207">
                  <c:v>4.5383615775306106E-2</c:v>
                </c:pt>
                <c:pt idx="208">
                  <c:v>4.5165425314847907E-2</c:v>
                </c:pt>
                <c:pt idx="209">
                  <c:v>4.494932280137974E-2</c:v>
                </c:pt>
                <c:pt idx="210">
                  <c:v>4.4735278407087464E-2</c:v>
                </c:pt>
                <c:pt idx="211">
                  <c:v>4.4523262869613119E-2</c:v>
                </c:pt>
                <c:pt idx="212">
                  <c:v>4.4313247478718731E-2</c:v>
                </c:pt>
                <c:pt idx="213">
                  <c:v>4.410520406332568E-2</c:v>
                </c:pt>
                <c:pt idx="214">
                  <c:v>4.3899104978917615E-2</c:v>
                </c:pt>
                <c:pt idx="215">
                  <c:v>4.3694923095294755E-2</c:v>
                </c:pt>
                <c:pt idx="216">
                  <c:v>4.3492631784668397E-2</c:v>
                </c:pt>
                <c:pt idx="217">
                  <c:v>4.3292204910084668E-2</c:v>
                </c:pt>
                <c:pt idx="218">
                  <c:v>4.3093616814166853E-2</c:v>
                </c:pt>
                <c:pt idx="219">
                  <c:v>4.2896842308166094E-2</c:v>
                </c:pt>
                <c:pt idx="220">
                  <c:v>4.2701856661310801E-2</c:v>
                </c:pt>
                <c:pt idx="221">
                  <c:v>4.250863559044514E-2</c:v>
                </c:pt>
                <c:pt idx="222">
                  <c:v>4.2317155249947648E-2</c:v>
                </c:pt>
                <c:pt idx="223">
                  <c:v>4.2127392221920974E-2</c:v>
                </c:pt>
                <c:pt idx="224">
                  <c:v>4.1939323506644546E-2</c:v>
                </c:pt>
                <c:pt idx="225">
                  <c:v>4.1752926513281684E-2</c:v>
                </c:pt>
                <c:pt idx="226">
                  <c:v>4.1568179050833542E-2</c:v>
                </c:pt>
                <c:pt idx="227">
                  <c:v>4.1385059319332076E-2</c:v>
                </c:pt>
                <c:pt idx="228">
                  <c:v>4.1203545901264835E-2</c:v>
                </c:pt>
                <c:pt idx="229">
                  <c:v>4.1023617753224384E-2</c:v>
                </c:pt>
                <c:pt idx="230">
                  <c:v>4.0845254197775578E-2</c:v>
                </c:pt>
                <c:pt idx="231">
                  <c:v>4.0668434915534138E-2</c:v>
                </c:pt>
                <c:pt idx="232">
                  <c:v>4.0493139937449935E-2</c:v>
                </c:pt>
                <c:pt idx="233">
                  <c:v>4.0319349637289205E-2</c:v>
                </c:pt>
                <c:pt idx="234">
                  <c:v>4.0147044724309341E-2</c:v>
                </c:pt>
                <c:pt idx="235">
                  <c:v>3.9976206236120797E-2</c:v>
                </c:pt>
                <c:pt idx="236">
                  <c:v>3.9806815531730461E-2</c:v>
                </c:pt>
                <c:pt idx="237">
                  <c:v>3.9638854284761139E-2</c:v>
                </c:pt>
                <c:pt idx="238">
                  <c:v>3.9472304476841982E-2</c:v>
                </c:pt>
                <c:pt idx="239">
                  <c:v>3.9307148391164816E-2</c:v>
                </c:pt>
                <c:pt idx="240">
                  <c:v>3.9143368606201635E-2</c:v>
                </c:pt>
                <c:pt idx="241">
                  <c:v>3.8980947989578393E-2</c:v>
                </c:pt>
                <c:pt idx="242">
                  <c:v>3.8819869692100793E-2</c:v>
                </c:pt>
                <c:pt idx="243">
                  <c:v>3.866011714192754E-2</c:v>
                </c:pt>
                <c:pt idx="244">
                  <c:v>3.8501674038886866E-2</c:v>
                </c:pt>
                <c:pt idx="245">
                  <c:v>3.8344524348932221E-2</c:v>
                </c:pt>
                <c:pt idx="246">
                  <c:v>3.8188652298733312E-2</c:v>
                </c:pt>
                <c:pt idx="247">
                  <c:v>3.8034042370398369E-2</c:v>
                </c:pt>
                <c:pt idx="248">
                  <c:v>3.7880679296324174E-2</c:v>
                </c:pt>
                <c:pt idx="249">
                  <c:v>3.7728548054170266E-2</c:v>
                </c:pt>
                <c:pt idx="250">
                  <c:v>3.7577633861953591E-2</c:v>
                </c:pt>
                <c:pt idx="251">
                  <c:v>3.7427922173260554E-2</c:v>
                </c:pt>
                <c:pt idx="252">
                  <c:v>3.7279398672573016E-2</c:v>
                </c:pt>
                <c:pt idx="253">
                  <c:v>3.7132049270705139E-2</c:v>
                </c:pt>
                <c:pt idx="254">
                  <c:v>3.6985860100348038E-2</c:v>
                </c:pt>
                <c:pt idx="255">
                  <c:v>3.684081751171922E-2</c:v>
                </c:pt>
                <c:pt idx="256">
                  <c:v>3.669690806831407E-2</c:v>
                </c:pt>
                <c:pt idx="257">
                  <c:v>3.6554118542756434E-2</c:v>
                </c:pt>
                <c:pt idx="258">
                  <c:v>3.6412435912745747E-2</c:v>
                </c:pt>
                <c:pt idx="259">
                  <c:v>3.627184735709809E-2</c:v>
                </c:pt>
                <c:pt idx="260">
                  <c:v>3.6132340251878482E-2</c:v>
                </c:pt>
                <c:pt idx="261">
                  <c:v>3.5993902166622238E-2</c:v>
                </c:pt>
                <c:pt idx="262">
                  <c:v>3.5856520860642775E-2</c:v>
                </c:pt>
                <c:pt idx="263">
                  <c:v>3.5720184279423604E-2</c:v>
                </c:pt>
                <c:pt idx="264">
                  <c:v>3.5584880551092449E-2</c:v>
                </c:pt>
                <c:pt idx="265">
                  <c:v>3.5450597982975125E-2</c:v>
                </c:pt>
                <c:pt idx="266">
                  <c:v>3.53173250582271E-2</c:v>
                </c:pt>
                <c:pt idx="267">
                  <c:v>3.518505043254086E-2</c:v>
                </c:pt>
                <c:pt idx="268">
                  <c:v>3.50537629309269E-2</c:v>
                </c:pt>
                <c:pt idx="269">
                  <c:v>3.4923451544566581E-2</c:v>
                </c:pt>
                <c:pt idx="270">
                  <c:v>3.479410542773486E-2</c:v>
                </c:pt>
                <c:pt idx="271">
                  <c:v>3.4665713894791186E-2</c:v>
                </c:pt>
                <c:pt idx="272">
                  <c:v>3.4538266417236813E-2</c:v>
                </c:pt>
                <c:pt idx="273">
                  <c:v>3.4411752620836678E-2</c:v>
                </c:pt>
                <c:pt idx="274">
                  <c:v>3.4286162282804428E-2</c:v>
                </c:pt>
                <c:pt idx="275">
                  <c:v>3.416148532904878E-2</c:v>
                </c:pt>
                <c:pt idx="276">
                  <c:v>3.4037711831479765E-2</c:v>
                </c:pt>
                <c:pt idx="277">
                  <c:v>3.391483200537334E-2</c:v>
                </c:pt>
                <c:pt idx="278">
                  <c:v>3.3792836206792853E-2</c:v>
                </c:pt>
                <c:pt idx="279">
                  <c:v>3.3671714930066002E-2</c:v>
                </c:pt>
                <c:pt idx="280">
                  <c:v>3.3551458805315772E-2</c:v>
                </c:pt>
                <c:pt idx="281">
                  <c:v>3.343205859604418E-2</c:v>
                </c:pt>
                <c:pt idx="282">
                  <c:v>3.3313505196767443E-2</c:v>
                </c:pt>
                <c:pt idx="283">
                  <c:v>3.319578963070112E-2</c:v>
                </c:pt>
                <c:pt idx="284">
                  <c:v>3.3078903047494439E-2</c:v>
                </c:pt>
                <c:pt idx="285">
                  <c:v>3.2962836721011995E-2</c:v>
                </c:pt>
                <c:pt idx="286">
                  <c:v>3.2847582047162302E-2</c:v>
                </c:pt>
                <c:pt idx="287">
                  <c:v>3.2733130541771502E-2</c:v>
                </c:pt>
                <c:pt idx="288">
                  <c:v>3.2619473838501452E-2</c:v>
                </c:pt>
                <c:pt idx="289">
                  <c:v>3.2506603686811145E-2</c:v>
                </c:pt>
                <c:pt idx="290">
                  <c:v>3.2394511949960077E-2</c:v>
                </c:pt>
                <c:pt idx="291">
                  <c:v>3.2283190603053E-2</c:v>
                </c:pt>
                <c:pt idx="292">
                  <c:v>3.217263173112473E-2</c:v>
                </c:pt>
                <c:pt idx="293">
                  <c:v>3.2062827527264248E-2</c:v>
                </c:pt>
                <c:pt idx="294">
                  <c:v>3.1953770290776957E-2</c:v>
                </c:pt>
                <c:pt idx="295">
                  <c:v>3.1845452425384481E-2</c:v>
                </c:pt>
                <c:pt idx="296">
                  <c:v>3.1737866437460897E-2</c:v>
                </c:pt>
                <c:pt idx="297">
                  <c:v>3.1631004934304471E-2</c:v>
                </c:pt>
                <c:pt idx="298">
                  <c:v>3.1524860622444383E-2</c:v>
                </c:pt>
                <c:pt idx="299">
                  <c:v>3.1419426305981359E-2</c:v>
                </c:pt>
                <c:pt idx="300">
                  <c:v>3.1314694884961421E-2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503-44C6-991A-E08BF47CACC5}"/>
            </c:ext>
          </c:extLst>
        </c:ser>
        <c:ser>
          <c:idx val="0"/>
          <c:order val="1"/>
          <c:tx>
            <c:v>붕괴방지수준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dLbls>
            <c:dLbl>
              <c:idx val="15"/>
              <c:layout>
                <c:manualLayout>
                  <c:x val="-5.0396825396825393E-3"/>
                  <c:y val="-3.1352285066684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15-4C29-81D3-5043B14DEA2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X)'!$H$3:$H$303</c:f>
              <c:numCache>
                <c:formatCode>0.0000_ </c:formatCode>
                <c:ptCount val="301"/>
                <c:pt idx="0">
                  <c:v>0</c:v>
                </c:pt>
                <c:pt idx="1">
                  <c:v>4.3164100936208217E-3</c:v>
                </c:pt>
                <c:pt idx="2">
                  <c:v>1.187012775745726E-2</c:v>
                </c:pt>
                <c:pt idx="3">
                  <c:v>2.2661152991509309E-2</c:v>
                </c:pt>
                <c:pt idx="4">
                  <c:v>3.0214870655345744E-2</c:v>
                </c:pt>
                <c:pt idx="5">
                  <c:v>3.7768588319182179E-2</c:v>
                </c:pt>
                <c:pt idx="6">
                  <c:v>4.5322305983018618E-2</c:v>
                </c:pt>
                <c:pt idx="7">
                  <c:v>5.2876023646855064E-2</c:v>
                </c:pt>
                <c:pt idx="8">
                  <c:v>6.0429741310691489E-2</c:v>
                </c:pt>
                <c:pt idx="9">
                  <c:v>6.7983458974527913E-2</c:v>
                </c:pt>
                <c:pt idx="10">
                  <c:v>7.5537176638364359E-2</c:v>
                </c:pt>
                <c:pt idx="11">
                  <c:v>8.3090894302200791E-2</c:v>
                </c:pt>
                <c:pt idx="12">
                  <c:v>9.0644611966037222E-2</c:v>
                </c:pt>
                <c:pt idx="13">
                  <c:v>9.819832962987364E-2</c:v>
                </c:pt>
                <c:pt idx="14">
                  <c:v>0.10575204729371009</c:v>
                </c:pt>
                <c:pt idx="15">
                  <c:v>0.11330576495754652</c:v>
                </c:pt>
                <c:pt idx="16">
                  <c:v>0.11330576495754652</c:v>
                </c:pt>
                <c:pt idx="17">
                  <c:v>0.11330576495754652</c:v>
                </c:pt>
                <c:pt idx="18">
                  <c:v>0.11330576495754652</c:v>
                </c:pt>
                <c:pt idx="19">
                  <c:v>0.11330576495754653</c:v>
                </c:pt>
                <c:pt idx="20">
                  <c:v>0.1133057649575465</c:v>
                </c:pt>
                <c:pt idx="21">
                  <c:v>0.11330576495754653</c:v>
                </c:pt>
                <c:pt idx="22">
                  <c:v>0.11330576495754653</c:v>
                </c:pt>
                <c:pt idx="23">
                  <c:v>0.11330576495754653</c:v>
                </c:pt>
                <c:pt idx="24">
                  <c:v>0.1133057649575465</c:v>
                </c:pt>
                <c:pt idx="25">
                  <c:v>0.11330576495754653</c:v>
                </c:pt>
                <c:pt idx="26">
                  <c:v>0.11330576495754652</c:v>
                </c:pt>
                <c:pt idx="27">
                  <c:v>0.11330576495754652</c:v>
                </c:pt>
                <c:pt idx="28">
                  <c:v>0.11330576495754652</c:v>
                </c:pt>
                <c:pt idx="29">
                  <c:v>0.11330576495754652</c:v>
                </c:pt>
                <c:pt idx="30">
                  <c:v>0.11330576495754652</c:v>
                </c:pt>
                <c:pt idx="31">
                  <c:v>0.11330576495754652</c:v>
                </c:pt>
                <c:pt idx="32">
                  <c:v>0.11330576495754652</c:v>
                </c:pt>
                <c:pt idx="33">
                  <c:v>0.11330576495754653</c:v>
                </c:pt>
                <c:pt idx="34">
                  <c:v>0.11330576495754652</c:v>
                </c:pt>
                <c:pt idx="35">
                  <c:v>0.11330576495754652</c:v>
                </c:pt>
                <c:pt idx="36">
                  <c:v>0.11330576495754652</c:v>
                </c:pt>
                <c:pt idx="37">
                  <c:v>0.11330576495754653</c:v>
                </c:pt>
                <c:pt idx="38">
                  <c:v>0.11330576495754652</c:v>
                </c:pt>
                <c:pt idx="39">
                  <c:v>0.11330576495754652</c:v>
                </c:pt>
                <c:pt idx="40">
                  <c:v>0.11330576495754652</c:v>
                </c:pt>
                <c:pt idx="41">
                  <c:v>0.11330576495754653</c:v>
                </c:pt>
                <c:pt idx="42">
                  <c:v>0.11330576495754652</c:v>
                </c:pt>
                <c:pt idx="43">
                  <c:v>0.11330576495754652</c:v>
                </c:pt>
                <c:pt idx="44">
                  <c:v>0.11330576495754652</c:v>
                </c:pt>
                <c:pt idx="45">
                  <c:v>0.11330576495754653</c:v>
                </c:pt>
                <c:pt idx="46">
                  <c:v>0.11330576495754653</c:v>
                </c:pt>
                <c:pt idx="47">
                  <c:v>0.11330576495754652</c:v>
                </c:pt>
                <c:pt idx="48">
                  <c:v>0.1133057649575465</c:v>
                </c:pt>
                <c:pt idx="49">
                  <c:v>0.11330576495754652</c:v>
                </c:pt>
                <c:pt idx="50">
                  <c:v>0.1133057649575465</c:v>
                </c:pt>
                <c:pt idx="51">
                  <c:v>0.11330576495754652</c:v>
                </c:pt>
                <c:pt idx="52">
                  <c:v>0.11330576495754652</c:v>
                </c:pt>
                <c:pt idx="53">
                  <c:v>0.11330576495754653</c:v>
                </c:pt>
                <c:pt idx="54">
                  <c:v>0.11330576495754653</c:v>
                </c:pt>
                <c:pt idx="55">
                  <c:v>0.11330576495754653</c:v>
                </c:pt>
                <c:pt idx="56">
                  <c:v>0.11330576495754652</c:v>
                </c:pt>
                <c:pt idx="57">
                  <c:v>0.11330576495754653</c:v>
                </c:pt>
                <c:pt idx="58">
                  <c:v>0.11330576495754653</c:v>
                </c:pt>
                <c:pt idx="59">
                  <c:v>0.11330576495754652</c:v>
                </c:pt>
                <c:pt idx="60">
                  <c:v>0.11330576495754652</c:v>
                </c:pt>
                <c:pt idx="61">
                  <c:v>0.1133057649575465</c:v>
                </c:pt>
                <c:pt idx="62">
                  <c:v>0.11330576495754652</c:v>
                </c:pt>
                <c:pt idx="63">
                  <c:v>0.1133057649575465</c:v>
                </c:pt>
                <c:pt idx="64">
                  <c:v>0.11330576495754653</c:v>
                </c:pt>
                <c:pt idx="65">
                  <c:v>0.11330576495754652</c:v>
                </c:pt>
                <c:pt idx="66">
                  <c:v>0.11330576495754652</c:v>
                </c:pt>
                <c:pt idx="67">
                  <c:v>0.11330576495754652</c:v>
                </c:pt>
                <c:pt idx="68">
                  <c:v>0.11330576495754652</c:v>
                </c:pt>
                <c:pt idx="69">
                  <c:v>0.11330576495754652</c:v>
                </c:pt>
                <c:pt idx="70">
                  <c:v>0.11330576495754652</c:v>
                </c:pt>
                <c:pt idx="71">
                  <c:v>0.11330576495754652</c:v>
                </c:pt>
                <c:pt idx="72">
                  <c:v>0.11330576495754653</c:v>
                </c:pt>
                <c:pt idx="73">
                  <c:v>0.11330576495754653</c:v>
                </c:pt>
                <c:pt idx="74">
                  <c:v>0.11330576495754653</c:v>
                </c:pt>
                <c:pt idx="75">
                  <c:v>0.11330576495754652</c:v>
                </c:pt>
                <c:pt idx="76">
                  <c:v>0.11330576495754652</c:v>
                </c:pt>
                <c:pt idx="77">
                  <c:v>0.11330576495754653</c:v>
                </c:pt>
                <c:pt idx="78">
                  <c:v>0.11330576495754652</c:v>
                </c:pt>
                <c:pt idx="79">
                  <c:v>0.11330576495754652</c:v>
                </c:pt>
                <c:pt idx="80">
                  <c:v>0.11330576495754653</c:v>
                </c:pt>
                <c:pt idx="81">
                  <c:v>0.11330576495754653</c:v>
                </c:pt>
                <c:pt idx="82">
                  <c:v>0.11330576495754652</c:v>
                </c:pt>
                <c:pt idx="83">
                  <c:v>0.11330576495754652</c:v>
                </c:pt>
                <c:pt idx="84">
                  <c:v>0.11330576495754652</c:v>
                </c:pt>
                <c:pt idx="85">
                  <c:v>0.11330576495754652</c:v>
                </c:pt>
                <c:pt idx="86">
                  <c:v>0.11330576495754652</c:v>
                </c:pt>
                <c:pt idx="87">
                  <c:v>0.11330576495754652</c:v>
                </c:pt>
                <c:pt idx="88">
                  <c:v>0.11330576495754652</c:v>
                </c:pt>
                <c:pt idx="89">
                  <c:v>0.11330576495754653</c:v>
                </c:pt>
                <c:pt idx="90">
                  <c:v>0.11330576495754652</c:v>
                </c:pt>
                <c:pt idx="91">
                  <c:v>0.11330576495754653</c:v>
                </c:pt>
                <c:pt idx="92">
                  <c:v>0.11330576495754653</c:v>
                </c:pt>
                <c:pt idx="93">
                  <c:v>0.11330576495754652</c:v>
                </c:pt>
                <c:pt idx="94">
                  <c:v>0.11330576495754653</c:v>
                </c:pt>
                <c:pt idx="95">
                  <c:v>0.11330576495754652</c:v>
                </c:pt>
                <c:pt idx="96">
                  <c:v>0.11330576495754653</c:v>
                </c:pt>
                <c:pt idx="97">
                  <c:v>0.11330576495754653</c:v>
                </c:pt>
                <c:pt idx="98">
                  <c:v>0.11330576495754652</c:v>
                </c:pt>
                <c:pt idx="99">
                  <c:v>0.1133057649575465</c:v>
                </c:pt>
                <c:pt idx="100">
                  <c:v>0.11330576495754653</c:v>
                </c:pt>
                <c:pt idx="101">
                  <c:v>0.11330576495754652</c:v>
                </c:pt>
                <c:pt idx="102">
                  <c:v>0.11330576495754652</c:v>
                </c:pt>
                <c:pt idx="103">
                  <c:v>0.11330576495754652</c:v>
                </c:pt>
                <c:pt idx="104">
                  <c:v>0.11330576495754652</c:v>
                </c:pt>
                <c:pt idx="105">
                  <c:v>0.11330576495754652</c:v>
                </c:pt>
                <c:pt idx="106">
                  <c:v>0.11330576495754656</c:v>
                </c:pt>
                <c:pt idx="107">
                  <c:v>0.11330576495754652</c:v>
                </c:pt>
                <c:pt idx="108">
                  <c:v>0.11330576495754653</c:v>
                </c:pt>
                <c:pt idx="109">
                  <c:v>0.11330576495754652</c:v>
                </c:pt>
                <c:pt idx="110">
                  <c:v>0.11330576495754653</c:v>
                </c:pt>
                <c:pt idx="111">
                  <c:v>0.11330576495754653</c:v>
                </c:pt>
                <c:pt idx="112">
                  <c:v>0.11330576495754652</c:v>
                </c:pt>
                <c:pt idx="113">
                  <c:v>0.11330576495754652</c:v>
                </c:pt>
                <c:pt idx="114">
                  <c:v>0.11330576495754652</c:v>
                </c:pt>
                <c:pt idx="115">
                  <c:v>0.1133057649575465</c:v>
                </c:pt>
                <c:pt idx="116">
                  <c:v>0.11330576495754652</c:v>
                </c:pt>
                <c:pt idx="117">
                  <c:v>0.11330576495754656</c:v>
                </c:pt>
                <c:pt idx="118">
                  <c:v>0.11330576495754652</c:v>
                </c:pt>
                <c:pt idx="119">
                  <c:v>0.11330576495754652</c:v>
                </c:pt>
                <c:pt idx="120">
                  <c:v>0.11330576495754652</c:v>
                </c:pt>
                <c:pt idx="121">
                  <c:v>0.11330576495754652</c:v>
                </c:pt>
                <c:pt idx="122">
                  <c:v>0.11330576495754656</c:v>
                </c:pt>
                <c:pt idx="123">
                  <c:v>0.1133057649575465</c:v>
                </c:pt>
                <c:pt idx="124">
                  <c:v>0.11330576495754653</c:v>
                </c:pt>
                <c:pt idx="125">
                  <c:v>0.11330576495754653</c:v>
                </c:pt>
                <c:pt idx="126">
                  <c:v>0.11330576495754652</c:v>
                </c:pt>
                <c:pt idx="127">
                  <c:v>0.11330576495754652</c:v>
                </c:pt>
                <c:pt idx="128">
                  <c:v>0.11330576495754652</c:v>
                </c:pt>
                <c:pt idx="129">
                  <c:v>0.11330576495754652</c:v>
                </c:pt>
                <c:pt idx="130">
                  <c:v>0.11330576495754652</c:v>
                </c:pt>
                <c:pt idx="131">
                  <c:v>0.11330576495754653</c:v>
                </c:pt>
                <c:pt idx="132">
                  <c:v>0.11330576495754652</c:v>
                </c:pt>
                <c:pt idx="133">
                  <c:v>0.11330576495754653</c:v>
                </c:pt>
                <c:pt idx="134">
                  <c:v>0.11330576495754652</c:v>
                </c:pt>
                <c:pt idx="135">
                  <c:v>0.1133057649575465</c:v>
                </c:pt>
                <c:pt idx="136">
                  <c:v>0.11330576495754653</c:v>
                </c:pt>
                <c:pt idx="137">
                  <c:v>0.1133057649575465</c:v>
                </c:pt>
                <c:pt idx="138">
                  <c:v>0.11330576495754652</c:v>
                </c:pt>
                <c:pt idx="139">
                  <c:v>0.11330576495754652</c:v>
                </c:pt>
                <c:pt idx="140">
                  <c:v>0.1133057649575465</c:v>
                </c:pt>
                <c:pt idx="141">
                  <c:v>0.11330576495754652</c:v>
                </c:pt>
                <c:pt idx="142">
                  <c:v>0.11330576495754652</c:v>
                </c:pt>
                <c:pt idx="143">
                  <c:v>0.11330576495754652</c:v>
                </c:pt>
                <c:pt idx="144">
                  <c:v>0.11330576495754652</c:v>
                </c:pt>
                <c:pt idx="145">
                  <c:v>0.11330576495754652</c:v>
                </c:pt>
                <c:pt idx="146">
                  <c:v>0.11330576495754652</c:v>
                </c:pt>
                <c:pt idx="147">
                  <c:v>0.11330576495754652</c:v>
                </c:pt>
                <c:pt idx="148">
                  <c:v>0.11330576495754652</c:v>
                </c:pt>
                <c:pt idx="149">
                  <c:v>0.11330576495754653</c:v>
                </c:pt>
                <c:pt idx="150">
                  <c:v>0.11330576495754652</c:v>
                </c:pt>
                <c:pt idx="151">
                  <c:v>0.11255539565319181</c:v>
                </c:pt>
                <c:pt idx="152">
                  <c:v>0.11181489962915768</c:v>
                </c:pt>
                <c:pt idx="153">
                  <c:v>0.11108408329171221</c:v>
                </c:pt>
                <c:pt idx="154">
                  <c:v>0.11036275807553224</c:v>
                </c:pt>
                <c:pt idx="155">
                  <c:v>0.10965074028149659</c:v>
                </c:pt>
                <c:pt idx="156">
                  <c:v>0.10894785092071774</c:v>
                </c:pt>
                <c:pt idx="157">
                  <c:v>0.10825391556453483</c:v>
                </c:pt>
                <c:pt idx="158">
                  <c:v>0.10756876420020232</c:v>
                </c:pt>
                <c:pt idx="159">
                  <c:v>0.10689223109202493</c:v>
                </c:pt>
                <c:pt idx="160">
                  <c:v>0.10622415464769978</c:v>
                </c:pt>
                <c:pt idx="161">
                  <c:v>0.10556437728963955</c:v>
                </c:pt>
                <c:pt idx="162">
                  <c:v>0.10491274533106151</c:v>
                </c:pt>
                <c:pt idx="163">
                  <c:v>0.10426910885663782</c:v>
                </c:pt>
                <c:pt idx="164">
                  <c:v>0.10363332160751199</c:v>
                </c:pt>
                <c:pt idx="165">
                  <c:v>0.10300524087049677</c:v>
                </c:pt>
                <c:pt idx="166">
                  <c:v>0.10238472737127688</c:v>
                </c:pt>
                <c:pt idx="167">
                  <c:v>0.1017716451714489</c:v>
                </c:pt>
                <c:pt idx="168">
                  <c:v>0.10116586156923789</c:v>
                </c:pt>
                <c:pt idx="169">
                  <c:v>0.10056724700373942</c:v>
                </c:pt>
                <c:pt idx="170">
                  <c:v>9.9975674962540978E-2</c:v>
                </c:pt>
                <c:pt idx="171">
                  <c:v>9.9391021892584586E-2</c:v>
                </c:pt>
                <c:pt idx="172">
                  <c:v>9.881316711413933E-2</c:v>
                </c:pt>
                <c:pt idx="173">
                  <c:v>9.8241992737757036E-2</c:v>
                </c:pt>
                <c:pt idx="174">
                  <c:v>9.7677383584091754E-2</c:v>
                </c:pt>
                <c:pt idx="175">
                  <c:v>9.7119227106468378E-2</c:v>
                </c:pt>
                <c:pt idx="176">
                  <c:v>9.65674133160907E-2</c:v>
                </c:pt>
                <c:pt idx="177">
                  <c:v>9.602183470978512E-2</c:v>
                </c:pt>
                <c:pt idx="178">
                  <c:v>9.548238620017957E-2</c:v>
                </c:pt>
                <c:pt idx="179">
                  <c:v>9.4948965048223297E-2</c:v>
                </c:pt>
                <c:pt idx="180">
                  <c:v>9.4421470797955362E-2</c:v>
                </c:pt>
                <c:pt idx="181">
                  <c:v>9.3899805213436272E-2</c:v>
                </c:pt>
                <c:pt idx="182">
                  <c:v>9.3383872217758068E-2</c:v>
                </c:pt>
                <c:pt idx="183">
                  <c:v>9.2873577834054449E-2</c:v>
                </c:pt>
                <c:pt idx="184">
                  <c:v>9.2368830128434595E-2</c:v>
                </c:pt>
                <c:pt idx="185">
                  <c:v>9.1869539154767393E-2</c:v>
                </c:pt>
                <c:pt idx="186">
                  <c:v>9.1375616901247125E-2</c:v>
                </c:pt>
                <c:pt idx="187">
                  <c:v>9.0886977238673616E-2</c:v>
                </c:pt>
                <c:pt idx="188">
                  <c:v>9.0403535870382787E-2</c:v>
                </c:pt>
                <c:pt idx="189">
                  <c:v>8.9925210283767015E-2</c:v>
                </c:pt>
                <c:pt idx="190">
                  <c:v>8.9451919703326124E-2</c:v>
                </c:pt>
                <c:pt idx="191">
                  <c:v>8.8983585045193547E-2</c:v>
                </c:pt>
                <c:pt idx="192">
                  <c:v>8.8520128873083165E-2</c:v>
                </c:pt>
                <c:pt idx="193">
                  <c:v>8.8061475355606031E-2</c:v>
                </c:pt>
                <c:pt idx="194">
                  <c:v>8.760755022490703E-2</c:v>
                </c:pt>
                <c:pt idx="195">
                  <c:v>8.7158280736574195E-2</c:v>
                </c:pt>
                <c:pt idx="196">
                  <c:v>8.6713595630775339E-2</c:v>
                </c:pt>
                <c:pt idx="197">
                  <c:v>8.6273425094578499E-2</c:v>
                </c:pt>
                <c:pt idx="198">
                  <c:v>8.5837700725413968E-2</c:v>
                </c:pt>
                <c:pt idx="199">
                  <c:v>8.540635549563802E-2</c:v>
                </c:pt>
                <c:pt idx="200">
                  <c:v>8.4979323718159847E-2</c:v>
                </c:pt>
                <c:pt idx="201">
                  <c:v>8.4556541013094372E-2</c:v>
                </c:pt>
                <c:pt idx="202">
                  <c:v>8.4137944275405788E-2</c:v>
                </c:pt>
                <c:pt idx="203">
                  <c:v>8.3723471643507283E-2</c:v>
                </c:pt>
                <c:pt idx="204">
                  <c:v>8.3313062468784199E-2</c:v>
                </c:pt>
                <c:pt idx="205">
                  <c:v>8.2906657286009641E-2</c:v>
                </c:pt>
                <c:pt idx="206">
                  <c:v>8.2504197784621258E-2</c:v>
                </c:pt>
                <c:pt idx="207">
                  <c:v>8.2105626780830818E-2</c:v>
                </c:pt>
                <c:pt idx="208">
                  <c:v>8.1710888190538358E-2</c:v>
                </c:pt>
                <c:pt idx="209">
                  <c:v>8.1319927003023845E-2</c:v>
                </c:pt>
                <c:pt idx="210">
                  <c:v>8.0932689255390405E-2</c:v>
                </c:pt>
                <c:pt idx="211">
                  <c:v>8.0549122007734536E-2</c:v>
                </c:pt>
                <c:pt idx="212">
                  <c:v>8.0169173319018822E-2</c:v>
                </c:pt>
                <c:pt idx="213">
                  <c:v>7.979279222362437E-2</c:v>
                </c:pt>
                <c:pt idx="214">
                  <c:v>7.9419928708560697E-2</c:v>
                </c:pt>
                <c:pt idx="215">
                  <c:v>7.9050533691311611E-2</c:v>
                </c:pt>
                <c:pt idx="216">
                  <c:v>7.8684558998296281E-2</c:v>
                </c:pt>
                <c:pt idx="217">
                  <c:v>7.832195734392626E-2</c:v>
                </c:pt>
                <c:pt idx="218">
                  <c:v>7.7962682310238521E-2</c:v>
                </c:pt>
                <c:pt idx="219">
                  <c:v>7.7606688327086767E-2</c:v>
                </c:pt>
                <c:pt idx="220">
                  <c:v>7.7253930652872727E-2</c:v>
                </c:pt>
                <c:pt idx="221">
                  <c:v>7.6904365355800919E-2</c:v>
                </c:pt>
                <c:pt idx="222">
                  <c:v>7.655794929563968E-2</c:v>
                </c:pt>
                <c:pt idx="223">
                  <c:v>7.6214640105973105E-2</c:v>
                </c:pt>
                <c:pt idx="224">
                  <c:v>7.5874396176928607E-2</c:v>
                </c:pt>
                <c:pt idx="225">
                  <c:v>7.5537176638364484E-2</c:v>
                </c:pt>
                <c:pt idx="226">
                  <c:v>7.520294134350447E-2</c:v>
                </c:pt>
                <c:pt idx="227">
                  <c:v>7.4871650853004457E-2</c:v>
                </c:pt>
                <c:pt idx="228">
                  <c:v>7.4543266419438647E-2</c:v>
                </c:pt>
                <c:pt idx="229">
                  <c:v>7.4217749972192215E-2</c:v>
                </c:pt>
                <c:pt idx="230">
                  <c:v>7.3895064102747904E-2</c:v>
                </c:pt>
                <c:pt idx="231">
                  <c:v>7.3575172050355062E-2</c:v>
                </c:pt>
                <c:pt idx="232">
                  <c:v>7.3258037688069072E-2</c:v>
                </c:pt>
                <c:pt idx="233">
                  <c:v>7.2943625509150289E-2</c:v>
                </c:pt>
                <c:pt idx="234">
                  <c:v>7.2631900613812056E-2</c:v>
                </c:pt>
                <c:pt idx="235">
                  <c:v>7.2322828696306476E-2</c:v>
                </c:pt>
                <c:pt idx="236">
                  <c:v>7.2016376032339097E-2</c:v>
                </c:pt>
                <c:pt idx="237">
                  <c:v>7.1712509466801799E-2</c:v>
                </c:pt>
                <c:pt idx="238">
                  <c:v>7.1411196401815244E-2</c:v>
                </c:pt>
                <c:pt idx="239">
                  <c:v>7.1112404785071248E-2</c:v>
                </c:pt>
                <c:pt idx="240">
                  <c:v>7.0816103098466796E-2</c:v>
                </c:pt>
                <c:pt idx="241">
                  <c:v>7.0522260347020888E-2</c:v>
                </c:pt>
                <c:pt idx="242">
                  <c:v>7.0230846048066245E-2</c:v>
                </c:pt>
                <c:pt idx="243">
                  <c:v>6.9941830220707962E-2</c:v>
                </c:pt>
                <c:pt idx="244">
                  <c:v>6.9655183375541121E-2</c:v>
                </c:pt>
                <c:pt idx="245">
                  <c:v>6.9370876504620552E-2</c:v>
                </c:pt>
                <c:pt idx="246">
                  <c:v>6.9088881071674949E-2</c:v>
                </c:pt>
                <c:pt idx="247">
                  <c:v>6.8809169002558859E-2</c:v>
                </c:pt>
                <c:pt idx="248">
                  <c:v>6.8531712675935635E-2</c:v>
                </c:pt>
                <c:pt idx="249">
                  <c:v>6.8256484914184901E-2</c:v>
                </c:pt>
                <c:pt idx="250">
                  <c:v>6.7983458974528163E-2</c:v>
                </c:pt>
                <c:pt idx="251">
                  <c:v>6.7712608540366703E-2</c:v>
                </c:pt>
                <c:pt idx="252">
                  <c:v>6.7443907712825574E-2</c:v>
                </c:pt>
                <c:pt idx="253">
                  <c:v>6.7177331002498203E-2</c:v>
                </c:pt>
                <c:pt idx="254">
                  <c:v>6.6912853321386009E-2</c:v>
                </c:pt>
                <c:pt idx="255">
                  <c:v>6.6650449975027629E-2</c:v>
                </c:pt>
                <c:pt idx="256">
                  <c:v>6.6390096654812686E-2</c:v>
                </c:pt>
                <c:pt idx="257">
                  <c:v>6.6131769430474899E-2</c:v>
                </c:pt>
                <c:pt idx="258">
                  <c:v>6.5875444742759887E-2</c:v>
                </c:pt>
                <c:pt idx="259">
                  <c:v>6.5621099396262747E-2</c:v>
                </c:pt>
                <c:pt idx="260">
                  <c:v>6.5368710552430986E-2</c:v>
                </c:pt>
                <c:pt idx="261">
                  <c:v>6.5118255722728183E-2</c:v>
                </c:pt>
                <c:pt idx="262">
                  <c:v>6.4869712761954398E-2</c:v>
                </c:pt>
                <c:pt idx="263">
                  <c:v>6.462305986171886E-2</c:v>
                </c:pt>
                <c:pt idx="264">
                  <c:v>6.4378275544060837E-2</c:v>
                </c:pt>
                <c:pt idx="265">
                  <c:v>6.4135338655215313E-2</c:v>
                </c:pt>
                <c:pt idx="266">
                  <c:v>6.3894228359519037E-2</c:v>
                </c:pt>
                <c:pt idx="267">
                  <c:v>6.3654924133453403E-2</c:v>
                </c:pt>
                <c:pt idx="268">
                  <c:v>6.3417405759821119E-2</c:v>
                </c:pt>
                <c:pt idx="269">
                  <c:v>6.3181653322052292E-2</c:v>
                </c:pt>
                <c:pt idx="270">
                  <c:v>6.2947647198637283E-2</c:v>
                </c:pt>
                <c:pt idx="271">
                  <c:v>6.2715368057682894E-2</c:v>
                </c:pt>
                <c:pt idx="272">
                  <c:v>6.2484796851588476E-2</c:v>
                </c:pt>
                <c:pt idx="273">
                  <c:v>6.2255914811839085E-2</c:v>
                </c:pt>
                <c:pt idx="274">
                  <c:v>6.2028703443912668E-2</c:v>
                </c:pt>
                <c:pt idx="275">
                  <c:v>6.1803144522298431E-2</c:v>
                </c:pt>
                <c:pt idx="276">
                  <c:v>6.1579220085623443E-2</c:v>
                </c:pt>
                <c:pt idx="277">
                  <c:v>6.1356912431884722E-2</c:v>
                </c:pt>
                <c:pt idx="278">
                  <c:v>6.1136204113784426E-2</c:v>
                </c:pt>
                <c:pt idx="279">
                  <c:v>6.0917077934165141E-2</c:v>
                </c:pt>
                <c:pt idx="280">
                  <c:v>6.0699516941543123E-2</c:v>
                </c:pt>
                <c:pt idx="281">
                  <c:v>6.0483504425736911E-2</c:v>
                </c:pt>
                <c:pt idx="282">
                  <c:v>6.0269023913588918E-2</c:v>
                </c:pt>
                <c:pt idx="283">
                  <c:v>6.0056059164777645E-2</c:v>
                </c:pt>
                <c:pt idx="284">
                  <c:v>5.9844594167718583E-2</c:v>
                </c:pt>
                <c:pt idx="285">
                  <c:v>5.963461313555115E-2</c:v>
                </c:pt>
                <c:pt idx="286">
                  <c:v>5.9426100502210068E-2</c:v>
                </c:pt>
                <c:pt idx="287">
                  <c:v>5.9219040918578686E-2</c:v>
                </c:pt>
                <c:pt idx="288">
                  <c:v>5.9013419248722505E-2</c:v>
                </c:pt>
                <c:pt idx="289">
                  <c:v>5.880922056620097E-2</c:v>
                </c:pt>
                <c:pt idx="290">
                  <c:v>5.8606430150455455E-2</c:v>
                </c:pt>
                <c:pt idx="291">
                  <c:v>5.8405033483271772E-2</c:v>
                </c:pt>
                <c:pt idx="292">
                  <c:v>5.8205016245315357E-2</c:v>
                </c:pt>
                <c:pt idx="293">
                  <c:v>5.8006364312737493E-2</c:v>
                </c:pt>
                <c:pt idx="294">
                  <c:v>5.7809063753850642E-2</c:v>
                </c:pt>
                <c:pt idx="295">
                  <c:v>5.761310082587149E-2</c:v>
                </c:pt>
                <c:pt idx="296">
                  <c:v>5.7418461971730034E-2</c:v>
                </c:pt>
                <c:pt idx="297">
                  <c:v>5.7225133816943073E-2</c:v>
                </c:pt>
                <c:pt idx="298">
                  <c:v>5.7033103166550643E-2</c:v>
                </c:pt>
                <c:pt idx="299">
                  <c:v>5.6842357002114013E-2</c:v>
                </c:pt>
                <c:pt idx="300">
                  <c:v>5.665288247877364E-2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503-44C6-991A-E08BF47CA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321408"/>
        <c:axId val="221321984"/>
      </c:scatterChart>
      <c:valAx>
        <c:axId val="221321408"/>
        <c:scaling>
          <c:orientation val="minMax"/>
          <c:max val="4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321984"/>
        <c:crosses val="autoZero"/>
        <c:crossBetween val="midCat"/>
      </c:valAx>
      <c:valAx>
        <c:axId val="221321984"/>
        <c:scaling>
          <c:orientation val="minMax"/>
          <c:max val="0.18000000000000002"/>
          <c:min val="0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Velocity (S</a:t>
                </a:r>
                <a:r>
                  <a:rPr lang="en-US" altLang="ko-KR" baseline="-25000"/>
                  <a:t>v</a:t>
                </a:r>
                <a:r>
                  <a:rPr lang="en-US" altLang="ko-KR"/>
                  <a:t>, m/s)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321408"/>
        <c:crosses val="autoZero"/>
        <c:crossBetween val="midCat"/>
        <c:majorUnit val="3.0000000000000006E-2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752321428571425"/>
          <c:y val="0.13990030864197531"/>
          <c:w val="0.27718511904761906"/>
          <c:h val="0.14176111111111112"/>
        </c:manualLayout>
      </c:layout>
      <c:overlay val="0"/>
      <c:spPr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c:sp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Acceleration Rsponse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130654761904762"/>
          <c:y val="1.95987654320987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X)'!$G$3:$G$303</c:f>
              <c:numCache>
                <c:formatCode>0.0000_ </c:formatCode>
                <c:ptCount val="301"/>
                <c:pt idx="0">
                  <c:v>0.154</c:v>
                </c:pt>
                <c:pt idx="1">
                  <c:v>0.24640000000000001</c:v>
                </c:pt>
                <c:pt idx="2">
                  <c:v>0.33879999999999999</c:v>
                </c:pt>
                <c:pt idx="3">
                  <c:v>0.43120000000000003</c:v>
                </c:pt>
                <c:pt idx="4">
                  <c:v>0.43119999999999997</c:v>
                </c:pt>
                <c:pt idx="5">
                  <c:v>0.43119999999999997</c:v>
                </c:pt>
                <c:pt idx="6">
                  <c:v>0.43119999999999997</c:v>
                </c:pt>
                <c:pt idx="7">
                  <c:v>0.43119999999999997</c:v>
                </c:pt>
                <c:pt idx="8">
                  <c:v>0.43119999999999997</c:v>
                </c:pt>
                <c:pt idx="9">
                  <c:v>0.43119999999999997</c:v>
                </c:pt>
                <c:pt idx="10">
                  <c:v>0.43119999999999997</c:v>
                </c:pt>
                <c:pt idx="11">
                  <c:v>0.43119999999999997</c:v>
                </c:pt>
                <c:pt idx="12">
                  <c:v>0.43119999999999997</c:v>
                </c:pt>
                <c:pt idx="13">
                  <c:v>0.43119999999999997</c:v>
                </c:pt>
                <c:pt idx="14">
                  <c:v>0.43119999999999997</c:v>
                </c:pt>
                <c:pt idx="15">
                  <c:v>0.43119999999999997</c:v>
                </c:pt>
                <c:pt idx="16">
                  <c:v>0.40424999999999989</c:v>
                </c:pt>
                <c:pt idx="17">
                  <c:v>0.380470588235294</c:v>
                </c:pt>
                <c:pt idx="18">
                  <c:v>0.35933333333333323</c:v>
                </c:pt>
                <c:pt idx="19">
                  <c:v>0.34042105263157885</c:v>
                </c:pt>
                <c:pt idx="20">
                  <c:v>0.32339999999999985</c:v>
                </c:pt>
                <c:pt idx="21">
                  <c:v>0.30799999999999988</c:v>
                </c:pt>
                <c:pt idx="22">
                  <c:v>0.29399999999999987</c:v>
                </c:pt>
                <c:pt idx="23">
                  <c:v>0.2812173913043477</c:v>
                </c:pt>
                <c:pt idx="24">
                  <c:v>0.26949999999999985</c:v>
                </c:pt>
                <c:pt idx="25">
                  <c:v>0.25871999999999989</c:v>
                </c:pt>
                <c:pt idx="26">
                  <c:v>0.24876923076923066</c:v>
                </c:pt>
                <c:pt idx="27">
                  <c:v>0.23955555555555544</c:v>
                </c:pt>
                <c:pt idx="28">
                  <c:v>0.2309999999999999</c:v>
                </c:pt>
                <c:pt idx="29">
                  <c:v>0.22303448275862059</c:v>
                </c:pt>
                <c:pt idx="30">
                  <c:v>0.21559999999999988</c:v>
                </c:pt>
                <c:pt idx="31">
                  <c:v>0.20864516129032246</c:v>
                </c:pt>
                <c:pt idx="32">
                  <c:v>0.20212499999999989</c:v>
                </c:pt>
                <c:pt idx="33">
                  <c:v>0.1959999999999999</c:v>
                </c:pt>
                <c:pt idx="34">
                  <c:v>0.19023529411764695</c:v>
                </c:pt>
                <c:pt idx="35">
                  <c:v>0.18479999999999988</c:v>
                </c:pt>
                <c:pt idx="36">
                  <c:v>0.17966666666666656</c:v>
                </c:pt>
                <c:pt idx="37">
                  <c:v>0.17481081081081071</c:v>
                </c:pt>
                <c:pt idx="38">
                  <c:v>0.17021052631578937</c:v>
                </c:pt>
                <c:pt idx="39">
                  <c:v>0.16584615384615373</c:v>
                </c:pt>
                <c:pt idx="40">
                  <c:v>0.1616999999999999</c:v>
                </c:pt>
                <c:pt idx="41">
                  <c:v>0.1577560975609755</c:v>
                </c:pt>
                <c:pt idx="42">
                  <c:v>0.15399999999999989</c:v>
                </c:pt>
                <c:pt idx="43">
                  <c:v>0.15041860465116269</c:v>
                </c:pt>
                <c:pt idx="44">
                  <c:v>0.14699999999999991</c:v>
                </c:pt>
                <c:pt idx="45">
                  <c:v>0.14373333333333324</c:v>
                </c:pt>
                <c:pt idx="46">
                  <c:v>0.14060869565217382</c:v>
                </c:pt>
                <c:pt idx="47">
                  <c:v>0.13761702127659564</c:v>
                </c:pt>
                <c:pt idx="48">
                  <c:v>0.1347499999999999</c:v>
                </c:pt>
                <c:pt idx="49">
                  <c:v>0.1319999999999999</c:v>
                </c:pt>
                <c:pt idx="50">
                  <c:v>0.12935999999999992</c:v>
                </c:pt>
                <c:pt idx="51">
                  <c:v>0.12682352941176461</c:v>
                </c:pt>
                <c:pt idx="52">
                  <c:v>0.1243846153846153</c:v>
                </c:pt>
                <c:pt idx="53">
                  <c:v>0.12203773584905653</c:v>
                </c:pt>
                <c:pt idx="54">
                  <c:v>0.11977777777777769</c:v>
                </c:pt>
                <c:pt idx="55">
                  <c:v>0.11759999999999993</c:v>
                </c:pt>
                <c:pt idx="56">
                  <c:v>0.11549999999999992</c:v>
                </c:pt>
                <c:pt idx="57">
                  <c:v>0.11347368421052624</c:v>
                </c:pt>
                <c:pt idx="58">
                  <c:v>0.11151724137931027</c:v>
                </c:pt>
                <c:pt idx="59">
                  <c:v>0.10962711864406773</c:v>
                </c:pt>
                <c:pt idx="60">
                  <c:v>0.10779999999999992</c:v>
                </c:pt>
                <c:pt idx="61">
                  <c:v>0.10603278688524582</c:v>
                </c:pt>
                <c:pt idx="62">
                  <c:v>0.10432258064516121</c:v>
                </c:pt>
                <c:pt idx="63">
                  <c:v>0.10266666666666659</c:v>
                </c:pt>
                <c:pt idx="64">
                  <c:v>0.10106249999999993</c:v>
                </c:pt>
                <c:pt idx="65">
                  <c:v>9.9507692307692228E-2</c:v>
                </c:pt>
                <c:pt idx="66">
                  <c:v>9.7999999999999921E-2</c:v>
                </c:pt>
                <c:pt idx="67">
                  <c:v>9.6537313432835753E-2</c:v>
                </c:pt>
                <c:pt idx="68">
                  <c:v>9.511764705882346E-2</c:v>
                </c:pt>
                <c:pt idx="69">
                  <c:v>9.3739130434782533E-2</c:v>
                </c:pt>
                <c:pt idx="70">
                  <c:v>9.2399999999999927E-2</c:v>
                </c:pt>
                <c:pt idx="71">
                  <c:v>9.1098591549295699E-2</c:v>
                </c:pt>
                <c:pt idx="72">
                  <c:v>8.9833333333333265E-2</c:v>
                </c:pt>
                <c:pt idx="73">
                  <c:v>8.8602739726027335E-2</c:v>
                </c:pt>
                <c:pt idx="74">
                  <c:v>8.740540540540534E-2</c:v>
                </c:pt>
                <c:pt idx="75">
                  <c:v>8.6239999999999928E-2</c:v>
                </c:pt>
                <c:pt idx="76">
                  <c:v>8.510526315789467E-2</c:v>
                </c:pt>
                <c:pt idx="77">
                  <c:v>8.3999999999999936E-2</c:v>
                </c:pt>
                <c:pt idx="78">
                  <c:v>8.2923076923076863E-2</c:v>
                </c:pt>
                <c:pt idx="79">
                  <c:v>8.1873417721518918E-2</c:v>
                </c:pt>
                <c:pt idx="80">
                  <c:v>8.0849999999999936E-2</c:v>
                </c:pt>
                <c:pt idx="81">
                  <c:v>7.9851851851851785E-2</c:v>
                </c:pt>
                <c:pt idx="82">
                  <c:v>7.8878048780487736E-2</c:v>
                </c:pt>
                <c:pt idx="83">
                  <c:v>7.7927710843373424E-2</c:v>
                </c:pt>
                <c:pt idx="84">
                  <c:v>7.6999999999999943E-2</c:v>
                </c:pt>
                <c:pt idx="85">
                  <c:v>7.6094117647058757E-2</c:v>
                </c:pt>
                <c:pt idx="86">
                  <c:v>7.5209302325581331E-2</c:v>
                </c:pt>
                <c:pt idx="87">
                  <c:v>7.4344827586206835E-2</c:v>
                </c:pt>
                <c:pt idx="88">
                  <c:v>7.349999999999994E-2</c:v>
                </c:pt>
                <c:pt idx="89">
                  <c:v>7.2674157303370721E-2</c:v>
                </c:pt>
                <c:pt idx="90">
                  <c:v>7.1866666666666607E-2</c:v>
                </c:pt>
                <c:pt idx="91">
                  <c:v>7.1076923076923024E-2</c:v>
                </c:pt>
                <c:pt idx="92">
                  <c:v>7.0304347826086896E-2</c:v>
                </c:pt>
                <c:pt idx="93">
                  <c:v>6.9548387096774134E-2</c:v>
                </c:pt>
                <c:pt idx="94">
                  <c:v>6.8808510638297821E-2</c:v>
                </c:pt>
                <c:pt idx="95">
                  <c:v>6.8084210526315733E-2</c:v>
                </c:pt>
                <c:pt idx="96">
                  <c:v>6.7374999999999949E-2</c:v>
                </c:pt>
                <c:pt idx="97">
                  <c:v>6.6680412371133965E-2</c:v>
                </c:pt>
                <c:pt idx="98">
                  <c:v>6.5999999999999948E-2</c:v>
                </c:pt>
                <c:pt idx="99">
                  <c:v>6.5333333333333271E-2</c:v>
                </c:pt>
                <c:pt idx="100">
                  <c:v>6.4679999999999946E-2</c:v>
                </c:pt>
                <c:pt idx="101">
                  <c:v>6.4039603960395985E-2</c:v>
                </c:pt>
                <c:pt idx="102">
                  <c:v>6.3411764705882293E-2</c:v>
                </c:pt>
                <c:pt idx="103">
                  <c:v>6.279611650485431E-2</c:v>
                </c:pt>
                <c:pt idx="104">
                  <c:v>6.2192307692307637E-2</c:v>
                </c:pt>
                <c:pt idx="105">
                  <c:v>6.1599999999999946E-2</c:v>
                </c:pt>
                <c:pt idx="106">
                  <c:v>6.101886792452825E-2</c:v>
                </c:pt>
                <c:pt idx="107">
                  <c:v>6.0448598130841066E-2</c:v>
                </c:pt>
                <c:pt idx="108">
                  <c:v>5.9888888888888839E-2</c:v>
                </c:pt>
                <c:pt idx="109">
                  <c:v>5.9339449541284353E-2</c:v>
                </c:pt>
                <c:pt idx="110">
                  <c:v>5.879999999999995E-2</c:v>
                </c:pt>
                <c:pt idx="111">
                  <c:v>5.8270270270270222E-2</c:v>
                </c:pt>
                <c:pt idx="112">
                  <c:v>5.7749999999999947E-2</c:v>
                </c:pt>
                <c:pt idx="113">
                  <c:v>5.7238938053097294E-2</c:v>
                </c:pt>
                <c:pt idx="114">
                  <c:v>5.6736842105263106E-2</c:v>
                </c:pt>
                <c:pt idx="115">
                  <c:v>5.6243478260869513E-2</c:v>
                </c:pt>
                <c:pt idx="116">
                  <c:v>5.575862068965512E-2</c:v>
                </c:pt>
                <c:pt idx="117">
                  <c:v>5.5282051282051235E-2</c:v>
                </c:pt>
                <c:pt idx="118">
                  <c:v>5.4813559322033849E-2</c:v>
                </c:pt>
                <c:pt idx="119">
                  <c:v>5.4352941176470541E-2</c:v>
                </c:pt>
                <c:pt idx="120">
                  <c:v>5.3899999999999955E-2</c:v>
                </c:pt>
                <c:pt idx="121">
                  <c:v>5.3454545454545407E-2</c:v>
                </c:pt>
                <c:pt idx="122">
                  <c:v>5.3016393442622906E-2</c:v>
                </c:pt>
                <c:pt idx="123">
                  <c:v>5.2585365853658486E-2</c:v>
                </c:pt>
                <c:pt idx="124">
                  <c:v>5.21612903225806E-2</c:v>
                </c:pt>
                <c:pt idx="125">
                  <c:v>5.1743999999999957E-2</c:v>
                </c:pt>
                <c:pt idx="126">
                  <c:v>5.1333333333333286E-2</c:v>
                </c:pt>
                <c:pt idx="127">
                  <c:v>5.0929133858267674E-2</c:v>
                </c:pt>
                <c:pt idx="128">
                  <c:v>5.0531249999999951E-2</c:v>
                </c:pt>
                <c:pt idx="129">
                  <c:v>5.0139534883720888E-2</c:v>
                </c:pt>
                <c:pt idx="130">
                  <c:v>4.9753846153846107E-2</c:v>
                </c:pt>
                <c:pt idx="131">
                  <c:v>4.937404580152667E-2</c:v>
                </c:pt>
                <c:pt idx="132">
                  <c:v>4.8999999999999953E-2</c:v>
                </c:pt>
                <c:pt idx="133">
                  <c:v>4.863157894736838E-2</c:v>
                </c:pt>
                <c:pt idx="134">
                  <c:v>4.826865671641787E-2</c:v>
                </c:pt>
                <c:pt idx="135">
                  <c:v>4.7911111111111064E-2</c:v>
                </c:pt>
                <c:pt idx="136">
                  <c:v>4.7558823529411723E-2</c:v>
                </c:pt>
                <c:pt idx="137">
                  <c:v>4.7211678832116744E-2</c:v>
                </c:pt>
                <c:pt idx="138">
                  <c:v>4.686956521739126E-2</c:v>
                </c:pt>
                <c:pt idx="139">
                  <c:v>4.6532374100719379E-2</c:v>
                </c:pt>
                <c:pt idx="140">
                  <c:v>4.6199999999999956E-2</c:v>
                </c:pt>
                <c:pt idx="141">
                  <c:v>4.5872340425531871E-2</c:v>
                </c:pt>
                <c:pt idx="142">
                  <c:v>4.5549295774647842E-2</c:v>
                </c:pt>
                <c:pt idx="143">
                  <c:v>4.5230769230769186E-2</c:v>
                </c:pt>
                <c:pt idx="144">
                  <c:v>4.4916666666666626E-2</c:v>
                </c:pt>
                <c:pt idx="145">
                  <c:v>4.4606896551724097E-2</c:v>
                </c:pt>
                <c:pt idx="146">
                  <c:v>4.4301369863013661E-2</c:v>
                </c:pt>
                <c:pt idx="147">
                  <c:v>4.3999999999999956E-2</c:v>
                </c:pt>
                <c:pt idx="148">
                  <c:v>4.3702702702702663E-2</c:v>
                </c:pt>
                <c:pt idx="149">
                  <c:v>4.3409395973154324E-2</c:v>
                </c:pt>
                <c:pt idx="150">
                  <c:v>4.3119999999999957E-2</c:v>
                </c:pt>
                <c:pt idx="151">
                  <c:v>4.2550765317310571E-2</c:v>
                </c:pt>
                <c:pt idx="152">
                  <c:v>4.1992728531855886E-2</c:v>
                </c:pt>
                <c:pt idx="153">
                  <c:v>4.144559784698186E-2</c:v>
                </c:pt>
                <c:pt idx="154">
                  <c:v>4.0909090909090839E-2</c:v>
                </c:pt>
                <c:pt idx="155">
                  <c:v>4.0382934443288179E-2</c:v>
                </c:pt>
                <c:pt idx="156">
                  <c:v>3.9866863905325373E-2</c:v>
                </c:pt>
                <c:pt idx="157">
                  <c:v>3.9360623149012064E-2</c:v>
                </c:pt>
                <c:pt idx="158">
                  <c:v>3.8863964108315906E-2</c:v>
                </c:pt>
                <c:pt idx="159">
                  <c:v>3.8376646493413963E-2</c:v>
                </c:pt>
                <c:pt idx="160">
                  <c:v>3.789843749999993E-2</c:v>
                </c:pt>
                <c:pt idx="161">
                  <c:v>3.7429111531190863E-2</c:v>
                </c:pt>
                <c:pt idx="162">
                  <c:v>3.6968449931412829E-2</c:v>
                </c:pt>
                <c:pt idx="163">
                  <c:v>3.6516240731679715E-2</c:v>
                </c:pt>
                <c:pt idx="164">
                  <c:v>3.6072278405710825E-2</c:v>
                </c:pt>
                <c:pt idx="165">
                  <c:v>3.5636363636363577E-2</c:v>
                </c:pt>
                <c:pt idx="166">
                  <c:v>3.5208303091885551E-2</c:v>
                </c:pt>
                <c:pt idx="167">
                  <c:v>3.4787909211517025E-2</c:v>
                </c:pt>
                <c:pt idx="168">
                  <c:v>3.437499999999994E-2</c:v>
                </c:pt>
                <c:pt idx="169">
                  <c:v>3.3969398830573101E-2</c:v>
                </c:pt>
                <c:pt idx="170">
                  <c:v>3.3570934256055306E-2</c:v>
                </c:pt>
                <c:pt idx="171">
                  <c:v>3.3179439827639212E-2</c:v>
                </c:pt>
                <c:pt idx="172">
                  <c:v>3.2794753921038339E-2</c:v>
                </c:pt>
                <c:pt idx="173">
                  <c:v>3.241671956964811E-2</c:v>
                </c:pt>
                <c:pt idx="174">
                  <c:v>3.2045184304399468E-2</c:v>
                </c:pt>
                <c:pt idx="175">
                  <c:v>3.1679999999999951E-2</c:v>
                </c:pt>
                <c:pt idx="176">
                  <c:v>3.132102272727267E-2</c:v>
                </c:pt>
                <c:pt idx="177">
                  <c:v>3.0968112611318533E-2</c:v>
                </c:pt>
                <c:pt idx="178">
                  <c:v>3.0621133695240447E-2</c:v>
                </c:pt>
                <c:pt idx="179">
                  <c:v>3.0279953809181935E-2</c:v>
                </c:pt>
                <c:pt idx="180">
                  <c:v>2.9944444444444392E-2</c:v>
                </c:pt>
                <c:pt idx="181">
                  <c:v>2.9614480632459278E-2</c:v>
                </c:pt>
                <c:pt idx="182">
                  <c:v>2.9289940828402316E-2</c:v>
                </c:pt>
                <c:pt idx="183">
                  <c:v>2.8970706799247462E-2</c:v>
                </c:pt>
                <c:pt idx="184">
                  <c:v>2.8656663516068003E-2</c:v>
                </c:pt>
                <c:pt idx="185">
                  <c:v>2.8347699050401704E-2</c:v>
                </c:pt>
                <c:pt idx="186">
                  <c:v>2.8043704474505673E-2</c:v>
                </c:pt>
                <c:pt idx="187">
                  <c:v>2.7744573765334964E-2</c:v>
                </c:pt>
                <c:pt idx="188">
                  <c:v>2.7450203712086868E-2</c:v>
                </c:pt>
                <c:pt idx="189">
                  <c:v>2.7160493827160445E-2</c:v>
                </c:pt>
                <c:pt idx="190">
                  <c:v>2.6875346260387765E-2</c:v>
                </c:pt>
                <c:pt idx="191">
                  <c:v>2.6594665716400272E-2</c:v>
                </c:pt>
                <c:pt idx="192">
                  <c:v>2.6318359374999954E-2</c:v>
                </c:pt>
                <c:pt idx="193">
                  <c:v>2.604633681441108E-2</c:v>
                </c:pt>
                <c:pt idx="194">
                  <c:v>2.5778509937294036E-2</c:v>
                </c:pt>
                <c:pt idx="195">
                  <c:v>2.551479289940824E-2</c:v>
                </c:pt>
                <c:pt idx="196">
                  <c:v>2.5255102040816282E-2</c:v>
                </c:pt>
                <c:pt idx="197">
                  <c:v>2.4999355819526354E-2</c:v>
                </c:pt>
                <c:pt idx="198">
                  <c:v>2.4747474747474706E-2</c:v>
                </c:pt>
                <c:pt idx="199">
                  <c:v>2.4499381328754281E-2</c:v>
                </c:pt>
                <c:pt idx="200">
                  <c:v>2.4254999999999964E-2</c:v>
                </c:pt>
                <c:pt idx="201">
                  <c:v>2.4014257072844703E-2</c:v>
                </c:pt>
                <c:pt idx="202">
                  <c:v>2.3777080678364839E-2</c:v>
                </c:pt>
                <c:pt idx="203">
                  <c:v>2.3543400713436368E-2</c:v>
                </c:pt>
                <c:pt idx="204">
                  <c:v>2.3313148788927322E-2</c:v>
                </c:pt>
                <c:pt idx="205">
                  <c:v>2.3086258179654956E-2</c:v>
                </c:pt>
                <c:pt idx="206">
                  <c:v>2.2862663776039207E-2</c:v>
                </c:pt>
                <c:pt idx="207">
                  <c:v>2.2642302037387103E-2</c:v>
                </c:pt>
                <c:pt idx="208">
                  <c:v>2.2425110946745565E-2</c:v>
                </c:pt>
                <c:pt idx="209">
                  <c:v>2.2211029967262663E-2</c:v>
                </c:pt>
                <c:pt idx="210">
                  <c:v>2.2000000000000013E-2</c:v>
                </c:pt>
                <c:pt idx="211">
                  <c:v>2.1791963343141457E-2</c:v>
                </c:pt>
                <c:pt idx="212">
                  <c:v>2.1586863652545411E-2</c:v>
                </c:pt>
                <c:pt idx="213">
                  <c:v>2.1384645903590582E-2</c:v>
                </c:pt>
                <c:pt idx="214">
                  <c:v>2.1185256354266775E-2</c:v>
                </c:pt>
                <c:pt idx="215">
                  <c:v>2.0988642509464611E-2</c:v>
                </c:pt>
                <c:pt idx="216">
                  <c:v>2.0794753086419791E-2</c:v>
                </c:pt>
                <c:pt idx="217">
                  <c:v>2.060353798126955E-2</c:v>
                </c:pt>
                <c:pt idx="218">
                  <c:v>2.0414948236680459E-2</c:v>
                </c:pt>
                <c:pt idx="219">
                  <c:v>2.0228936010508583E-2</c:v>
                </c:pt>
                <c:pt idx="220">
                  <c:v>2.0045454545454592E-2</c:v>
                </c:pt>
                <c:pt idx="221">
                  <c:v>1.9864458139677785E-2</c:v>
                </c:pt>
                <c:pt idx="222">
                  <c:v>1.9685902118334608E-2</c:v>
                </c:pt>
                <c:pt idx="223">
                  <c:v>1.9509742806008624E-2</c:v>
                </c:pt>
                <c:pt idx="224">
                  <c:v>1.9335937500000063E-2</c:v>
                </c:pt>
                <c:pt idx="225">
                  <c:v>1.9164444444444508E-2</c:v>
                </c:pt>
                <c:pt idx="226">
                  <c:v>1.8995222805231488E-2</c:v>
                </c:pt>
                <c:pt idx="227">
                  <c:v>1.8828232645694727E-2</c:v>
                </c:pt>
                <c:pt idx="228">
                  <c:v>1.8663434903047164E-2</c:v>
                </c:pt>
                <c:pt idx="229">
                  <c:v>1.8500791365534675E-2</c:v>
                </c:pt>
                <c:pt idx="230">
                  <c:v>1.8340264650283631E-2</c:v>
                </c:pt>
                <c:pt idx="231">
                  <c:v>1.8181818181818264E-2</c:v>
                </c:pt>
                <c:pt idx="232">
                  <c:v>1.8025416171224815E-2</c:v>
                </c:pt>
                <c:pt idx="233">
                  <c:v>1.7871023595940328E-2</c:v>
                </c:pt>
                <c:pt idx="234">
                  <c:v>1.7718606180144727E-2</c:v>
                </c:pt>
                <c:pt idx="235">
                  <c:v>1.7568130375735715E-2</c:v>
                </c:pt>
                <c:pt idx="236">
                  <c:v>1.7419563343866795E-2</c:v>
                </c:pt>
                <c:pt idx="237">
                  <c:v>1.7272872937029414E-2</c:v>
                </c:pt>
                <c:pt idx="238">
                  <c:v>1.7128027681660996E-2</c:v>
                </c:pt>
                <c:pt idx="239">
                  <c:v>1.6984996761261278E-2</c:v>
                </c:pt>
                <c:pt idx="240">
                  <c:v>1.6843750000000098E-2</c:v>
                </c:pt>
                <c:pt idx="241">
                  <c:v>1.6704257846800259E-2</c:v>
                </c:pt>
                <c:pt idx="242">
                  <c:v>1.6566491359879889E-2</c:v>
                </c:pt>
                <c:pt idx="243">
                  <c:v>1.6430422191739166E-2</c:v>
                </c:pt>
                <c:pt idx="244">
                  <c:v>1.6296022574576831E-2</c:v>
                </c:pt>
                <c:pt idx="245">
                  <c:v>1.6163265306122554E-2</c:v>
                </c:pt>
                <c:pt idx="246">
                  <c:v>1.6032123735871612E-2</c:v>
                </c:pt>
                <c:pt idx="247">
                  <c:v>1.5902571751708873E-2</c:v>
                </c:pt>
                <c:pt idx="248">
                  <c:v>1.5774583766909579E-2</c:v>
                </c:pt>
                <c:pt idx="249">
                  <c:v>1.564813470750483E-2</c:v>
                </c:pt>
                <c:pt idx="250">
                  <c:v>1.5523200000000112E-2</c:v>
                </c:pt>
                <c:pt idx="251">
                  <c:v>1.5399755559435678E-2</c:v>
                </c:pt>
                <c:pt idx="252">
                  <c:v>1.5277777777777894E-2</c:v>
                </c:pt>
                <c:pt idx="253">
                  <c:v>1.5157243512631154E-2</c:v>
                </c:pt>
                <c:pt idx="254">
                  <c:v>1.5038130076260269E-2</c:v>
                </c:pt>
                <c:pt idx="255">
                  <c:v>1.4920415224913613E-2</c:v>
                </c:pt>
                <c:pt idx="256">
                  <c:v>1.4804077148437619E-2</c:v>
                </c:pt>
                <c:pt idx="257">
                  <c:v>1.4689094460173628E-2</c:v>
                </c:pt>
                <c:pt idx="258">
                  <c:v>1.45754461871283E-2</c:v>
                </c:pt>
                <c:pt idx="259">
                  <c:v>1.4463111760409181E-2</c:v>
                </c:pt>
                <c:pt idx="260">
                  <c:v>1.4352071005917283E-2</c:v>
                </c:pt>
                <c:pt idx="261">
                  <c:v>1.4242304135288803E-2</c:v>
                </c:pt>
                <c:pt idx="262">
                  <c:v>1.4133791737078384E-2</c:v>
                </c:pt>
                <c:pt idx="263">
                  <c:v>1.4026514768176622E-2</c:v>
                </c:pt>
                <c:pt idx="264">
                  <c:v>1.3920454545454673E-2</c:v>
                </c:pt>
                <c:pt idx="265">
                  <c:v>1.3815592737629178E-2</c:v>
                </c:pt>
                <c:pt idx="266">
                  <c:v>1.371191135734085E-2</c:v>
                </c:pt>
                <c:pt idx="267">
                  <c:v>1.3609392753440351E-2</c:v>
                </c:pt>
                <c:pt idx="268">
                  <c:v>1.3508019603475292E-2</c:v>
                </c:pt>
                <c:pt idx="269">
                  <c:v>1.3407774906372348E-2</c:v>
                </c:pt>
                <c:pt idx="270">
                  <c:v>1.3308641975308774E-2</c:v>
                </c:pt>
                <c:pt idx="271">
                  <c:v>1.3210604430767686E-2</c:v>
                </c:pt>
                <c:pt idx="272">
                  <c:v>1.3113646193771759E-2</c:v>
                </c:pt>
                <c:pt idx="273">
                  <c:v>1.3017751479290074E-2</c:v>
                </c:pt>
                <c:pt idx="274">
                  <c:v>1.2922904789813124E-2</c:v>
                </c:pt>
                <c:pt idx="275">
                  <c:v>1.2829090909091043E-2</c:v>
                </c:pt>
                <c:pt idx="276">
                  <c:v>1.2736294896030381E-2</c:v>
                </c:pt>
                <c:pt idx="277">
                  <c:v>1.2644502078744808E-2</c:v>
                </c:pt>
                <c:pt idx="278">
                  <c:v>1.2553698048755375E-2</c:v>
                </c:pt>
                <c:pt idx="279">
                  <c:v>1.2463868655336012E-2</c:v>
                </c:pt>
                <c:pt idx="280">
                  <c:v>1.2375000000000136E-2</c:v>
                </c:pt>
                <c:pt idx="281">
                  <c:v>1.2287078431124362E-2</c:v>
                </c:pt>
                <c:pt idx="282">
                  <c:v>1.2200090538705433E-2</c:v>
                </c:pt>
                <c:pt idx="283">
                  <c:v>1.2114023149246599E-2</c:v>
                </c:pt>
                <c:pt idx="284">
                  <c:v>1.2028863320769826E-2</c:v>
                </c:pt>
                <c:pt idx="285">
                  <c:v>1.1944598337950276E-2</c:v>
                </c:pt>
                <c:pt idx="286">
                  <c:v>1.1861215707369692E-2</c:v>
                </c:pt>
                <c:pt idx="287">
                  <c:v>1.1778703152885327E-2</c:v>
                </c:pt>
                <c:pt idx="288">
                  <c:v>1.169704861111125E-2</c:v>
                </c:pt>
                <c:pt idx="289">
                  <c:v>1.1616240227008915E-2</c:v>
                </c:pt>
                <c:pt idx="290">
                  <c:v>1.1536266349583968E-2</c:v>
                </c:pt>
                <c:pt idx="291">
                  <c:v>1.1457115527686398E-2</c:v>
                </c:pt>
                <c:pt idx="292">
                  <c:v>1.1378776505911192E-2</c:v>
                </c:pt>
                <c:pt idx="293">
                  <c:v>1.130123822059677E-2</c:v>
                </c:pt>
                <c:pt idx="294">
                  <c:v>1.1224489795918509E-2</c:v>
                </c:pt>
                <c:pt idx="295">
                  <c:v>1.1148520540074832E-2</c:v>
                </c:pt>
                <c:pt idx="296">
                  <c:v>1.1073319941563327E-2</c:v>
                </c:pt>
                <c:pt idx="297">
                  <c:v>1.0998877665544474E-2</c:v>
                </c:pt>
                <c:pt idx="298">
                  <c:v>1.092518355029067E-2</c:v>
                </c:pt>
                <c:pt idx="299">
                  <c:v>1.085222760371822E-2</c:v>
                </c:pt>
                <c:pt idx="300">
                  <c:v>1.0780000000000142E-2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07-408A-BF06-8F910CD1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89664"/>
        <c:axId val="221890240"/>
      </c:scatterChart>
      <c:valAx>
        <c:axId val="221889664"/>
        <c:scaling>
          <c:orientation val="minMax"/>
          <c:max val="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(Tn,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21890240"/>
        <c:crosses val="autoZero"/>
        <c:crossBetween val="midCat"/>
      </c:valAx>
      <c:valAx>
        <c:axId val="221890240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Peak Accel (S, g)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1.259920634920635E-2"/>
              <c:y val="0.31618487654320993"/>
            </c:manualLayout>
          </c:layout>
          <c:overlay val="0"/>
        </c:title>
        <c:numFmt formatCode="0.00_ 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21889664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7366041666666666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X)'!$C$3:$C$303</c:f>
              <c:numCache>
                <c:formatCode>0.0000_ </c:formatCode>
                <c:ptCount val="301"/>
                <c:pt idx="0">
                  <c:v>6.3E-2</c:v>
                </c:pt>
                <c:pt idx="1">
                  <c:v>0.1008</c:v>
                </c:pt>
                <c:pt idx="2">
                  <c:v>0.1386</c:v>
                </c:pt>
                <c:pt idx="3">
                  <c:v>0.1764</c:v>
                </c:pt>
                <c:pt idx="4">
                  <c:v>0.1764</c:v>
                </c:pt>
                <c:pt idx="5">
                  <c:v>0.1764</c:v>
                </c:pt>
                <c:pt idx="6">
                  <c:v>0.1764</c:v>
                </c:pt>
                <c:pt idx="7">
                  <c:v>0.1764</c:v>
                </c:pt>
                <c:pt idx="8">
                  <c:v>0.1764</c:v>
                </c:pt>
                <c:pt idx="9">
                  <c:v>0.1764</c:v>
                </c:pt>
                <c:pt idx="10">
                  <c:v>0.1764</c:v>
                </c:pt>
                <c:pt idx="11">
                  <c:v>0.1764</c:v>
                </c:pt>
                <c:pt idx="12">
                  <c:v>0.1764</c:v>
                </c:pt>
                <c:pt idx="13">
                  <c:v>0.1764</c:v>
                </c:pt>
                <c:pt idx="14">
                  <c:v>0.1764</c:v>
                </c:pt>
                <c:pt idx="15">
                  <c:v>0.1764</c:v>
                </c:pt>
                <c:pt idx="16">
                  <c:v>0.16537499999999999</c:v>
                </c:pt>
                <c:pt idx="17">
                  <c:v>0.15564705882352942</c:v>
                </c:pt>
                <c:pt idx="18">
                  <c:v>0.14699999999999999</c:v>
                </c:pt>
                <c:pt idx="19">
                  <c:v>0.13926315789473681</c:v>
                </c:pt>
                <c:pt idx="20">
                  <c:v>0.13229999999999997</c:v>
                </c:pt>
                <c:pt idx="21">
                  <c:v>0.12599999999999997</c:v>
                </c:pt>
                <c:pt idx="22">
                  <c:v>0.12027272727272724</c:v>
                </c:pt>
                <c:pt idx="23">
                  <c:v>0.11504347826086954</c:v>
                </c:pt>
                <c:pt idx="24">
                  <c:v>0.11024999999999997</c:v>
                </c:pt>
                <c:pt idx="25">
                  <c:v>0.10583999999999998</c:v>
                </c:pt>
                <c:pt idx="26">
                  <c:v>0.10176923076923075</c:v>
                </c:pt>
                <c:pt idx="27">
                  <c:v>9.7999999999999976E-2</c:v>
                </c:pt>
                <c:pt idx="28">
                  <c:v>9.4499999999999973E-2</c:v>
                </c:pt>
                <c:pt idx="29">
                  <c:v>9.1241379310344803E-2</c:v>
                </c:pt>
                <c:pt idx="30">
                  <c:v>8.8199999999999973E-2</c:v>
                </c:pt>
                <c:pt idx="31">
                  <c:v>8.5354838709677389E-2</c:v>
                </c:pt>
                <c:pt idx="32">
                  <c:v>8.2687499999999969E-2</c:v>
                </c:pt>
                <c:pt idx="33">
                  <c:v>8.018181818181816E-2</c:v>
                </c:pt>
                <c:pt idx="34">
                  <c:v>7.782352941176468E-2</c:v>
                </c:pt>
                <c:pt idx="35">
                  <c:v>7.5599999999999973E-2</c:v>
                </c:pt>
                <c:pt idx="36">
                  <c:v>7.3499999999999968E-2</c:v>
                </c:pt>
                <c:pt idx="37">
                  <c:v>7.1513513513513483E-2</c:v>
                </c:pt>
                <c:pt idx="38">
                  <c:v>6.9631578947368392E-2</c:v>
                </c:pt>
                <c:pt idx="39">
                  <c:v>6.784615384615382E-2</c:v>
                </c:pt>
                <c:pt idx="40">
                  <c:v>6.6149999999999973E-2</c:v>
                </c:pt>
                <c:pt idx="41">
                  <c:v>6.4536585365853633E-2</c:v>
                </c:pt>
                <c:pt idx="42">
                  <c:v>6.2999999999999973E-2</c:v>
                </c:pt>
                <c:pt idx="43">
                  <c:v>6.1534883720930203E-2</c:v>
                </c:pt>
                <c:pt idx="44">
                  <c:v>6.0136363636363606E-2</c:v>
                </c:pt>
                <c:pt idx="45">
                  <c:v>5.879999999999997E-2</c:v>
                </c:pt>
                <c:pt idx="46">
                  <c:v>5.7521739130434756E-2</c:v>
                </c:pt>
                <c:pt idx="47">
                  <c:v>5.6297872340425506E-2</c:v>
                </c:pt>
                <c:pt idx="48">
                  <c:v>5.5124999999999973E-2</c:v>
                </c:pt>
                <c:pt idx="49">
                  <c:v>5.3999999999999972E-2</c:v>
                </c:pt>
                <c:pt idx="50">
                  <c:v>5.2919999999999981E-2</c:v>
                </c:pt>
                <c:pt idx="51">
                  <c:v>5.1882352941176449E-2</c:v>
                </c:pt>
                <c:pt idx="52">
                  <c:v>5.0884615384615361E-2</c:v>
                </c:pt>
                <c:pt idx="53">
                  <c:v>4.9924528301886768E-2</c:v>
                </c:pt>
                <c:pt idx="54">
                  <c:v>4.8999999999999981E-2</c:v>
                </c:pt>
                <c:pt idx="55">
                  <c:v>4.8109090909090886E-2</c:v>
                </c:pt>
                <c:pt idx="56">
                  <c:v>4.724999999999998E-2</c:v>
                </c:pt>
                <c:pt idx="57">
                  <c:v>4.6421052631578925E-2</c:v>
                </c:pt>
                <c:pt idx="58">
                  <c:v>4.5620689655172394E-2</c:v>
                </c:pt>
                <c:pt idx="59">
                  <c:v>4.4847457627118621E-2</c:v>
                </c:pt>
                <c:pt idx="60">
                  <c:v>4.4099999999999979E-2</c:v>
                </c:pt>
                <c:pt idx="61">
                  <c:v>4.3377049180327851E-2</c:v>
                </c:pt>
                <c:pt idx="62">
                  <c:v>4.2677419354838687E-2</c:v>
                </c:pt>
                <c:pt idx="63">
                  <c:v>4.1999999999999982E-2</c:v>
                </c:pt>
                <c:pt idx="64">
                  <c:v>4.1343749999999978E-2</c:v>
                </c:pt>
                <c:pt idx="65">
                  <c:v>4.0707692307692285E-2</c:v>
                </c:pt>
                <c:pt idx="66">
                  <c:v>4.0090909090909073E-2</c:v>
                </c:pt>
                <c:pt idx="67">
                  <c:v>3.9492537313432816E-2</c:v>
                </c:pt>
                <c:pt idx="68">
                  <c:v>3.8911764705882333E-2</c:v>
                </c:pt>
                <c:pt idx="69">
                  <c:v>3.8347826086956499E-2</c:v>
                </c:pt>
                <c:pt idx="70">
                  <c:v>3.7799999999999979E-2</c:v>
                </c:pt>
                <c:pt idx="71">
                  <c:v>3.7267605633802797E-2</c:v>
                </c:pt>
                <c:pt idx="72">
                  <c:v>3.6749999999999977E-2</c:v>
                </c:pt>
                <c:pt idx="73">
                  <c:v>3.6246575342465732E-2</c:v>
                </c:pt>
                <c:pt idx="74">
                  <c:v>3.5756756756756734E-2</c:v>
                </c:pt>
                <c:pt idx="75">
                  <c:v>3.5279999999999978E-2</c:v>
                </c:pt>
                <c:pt idx="76">
                  <c:v>3.4815789473684189E-2</c:v>
                </c:pt>
                <c:pt idx="77">
                  <c:v>3.4363636363636346E-2</c:v>
                </c:pt>
                <c:pt idx="78">
                  <c:v>3.3923076923076903E-2</c:v>
                </c:pt>
                <c:pt idx="79">
                  <c:v>3.3493670886075931E-2</c:v>
                </c:pt>
                <c:pt idx="80">
                  <c:v>3.3074999999999979E-2</c:v>
                </c:pt>
                <c:pt idx="81">
                  <c:v>3.2666666666666649E-2</c:v>
                </c:pt>
                <c:pt idx="82">
                  <c:v>3.2268292682926809E-2</c:v>
                </c:pt>
                <c:pt idx="83">
                  <c:v>3.1879518072289136E-2</c:v>
                </c:pt>
                <c:pt idx="84">
                  <c:v>3.1499999999999979E-2</c:v>
                </c:pt>
                <c:pt idx="85">
                  <c:v>3.1129411764705864E-2</c:v>
                </c:pt>
                <c:pt idx="86">
                  <c:v>3.0767441860465098E-2</c:v>
                </c:pt>
                <c:pt idx="87">
                  <c:v>3.0413793103448258E-2</c:v>
                </c:pt>
                <c:pt idx="88">
                  <c:v>3.0068181818181799E-2</c:v>
                </c:pt>
                <c:pt idx="89">
                  <c:v>2.9730337078651668E-2</c:v>
                </c:pt>
                <c:pt idx="90">
                  <c:v>2.9399999999999982E-2</c:v>
                </c:pt>
                <c:pt idx="91">
                  <c:v>2.9076923076923059E-2</c:v>
                </c:pt>
                <c:pt idx="92">
                  <c:v>2.8760869565217374E-2</c:v>
                </c:pt>
                <c:pt idx="93">
                  <c:v>2.845161290322579E-2</c:v>
                </c:pt>
                <c:pt idx="94">
                  <c:v>2.814893617021275E-2</c:v>
                </c:pt>
                <c:pt idx="95">
                  <c:v>2.7852631578947351E-2</c:v>
                </c:pt>
                <c:pt idx="96">
                  <c:v>2.7562499999999983E-2</c:v>
                </c:pt>
                <c:pt idx="97">
                  <c:v>2.7278350515463901E-2</c:v>
                </c:pt>
                <c:pt idx="98">
                  <c:v>2.6999999999999982E-2</c:v>
                </c:pt>
                <c:pt idx="99">
                  <c:v>2.6727272727272711E-2</c:v>
                </c:pt>
                <c:pt idx="100">
                  <c:v>2.6459999999999984E-2</c:v>
                </c:pt>
                <c:pt idx="101">
                  <c:v>2.619801980198018E-2</c:v>
                </c:pt>
                <c:pt idx="102">
                  <c:v>2.5941176470588218E-2</c:v>
                </c:pt>
                <c:pt idx="103">
                  <c:v>2.5689320388349497E-2</c:v>
                </c:pt>
                <c:pt idx="104">
                  <c:v>2.5442307692307677E-2</c:v>
                </c:pt>
                <c:pt idx="105">
                  <c:v>2.5199999999999983E-2</c:v>
                </c:pt>
                <c:pt idx="106">
                  <c:v>2.4962264150943381E-2</c:v>
                </c:pt>
                <c:pt idx="107">
                  <c:v>2.4728971962616808E-2</c:v>
                </c:pt>
                <c:pt idx="108">
                  <c:v>2.4499999999999984E-2</c:v>
                </c:pt>
                <c:pt idx="109">
                  <c:v>2.4275229357798148E-2</c:v>
                </c:pt>
                <c:pt idx="110">
                  <c:v>2.405454545454544E-2</c:v>
                </c:pt>
                <c:pt idx="111">
                  <c:v>2.3837837837837821E-2</c:v>
                </c:pt>
                <c:pt idx="112">
                  <c:v>2.3624999999999983E-2</c:v>
                </c:pt>
                <c:pt idx="113">
                  <c:v>2.3415929203539809E-2</c:v>
                </c:pt>
                <c:pt idx="114">
                  <c:v>2.3210526315789459E-2</c:v>
                </c:pt>
                <c:pt idx="115">
                  <c:v>2.3008695652173897E-2</c:v>
                </c:pt>
                <c:pt idx="116">
                  <c:v>2.281034482758619E-2</c:v>
                </c:pt>
                <c:pt idx="117">
                  <c:v>2.26153846153846E-2</c:v>
                </c:pt>
                <c:pt idx="118">
                  <c:v>2.2423728813559307E-2</c:v>
                </c:pt>
                <c:pt idx="119">
                  <c:v>2.2235294117647044E-2</c:v>
                </c:pt>
                <c:pt idx="120">
                  <c:v>2.2049999999999986E-2</c:v>
                </c:pt>
                <c:pt idx="121">
                  <c:v>2.1867768595041307E-2</c:v>
                </c:pt>
                <c:pt idx="122">
                  <c:v>2.1688524590163918E-2</c:v>
                </c:pt>
                <c:pt idx="123">
                  <c:v>2.1512195121951204E-2</c:v>
                </c:pt>
                <c:pt idx="124">
                  <c:v>2.133870967741934E-2</c:v>
                </c:pt>
                <c:pt idx="125">
                  <c:v>2.1167999999999985E-2</c:v>
                </c:pt>
                <c:pt idx="126">
                  <c:v>2.0999999999999987E-2</c:v>
                </c:pt>
                <c:pt idx="127">
                  <c:v>2.0834645669291326E-2</c:v>
                </c:pt>
                <c:pt idx="128">
                  <c:v>2.0671874999999985E-2</c:v>
                </c:pt>
                <c:pt idx="129">
                  <c:v>2.0511627906976731E-2</c:v>
                </c:pt>
                <c:pt idx="130">
                  <c:v>2.0353846153846139E-2</c:v>
                </c:pt>
                <c:pt idx="131">
                  <c:v>2.0198473282442734E-2</c:v>
                </c:pt>
                <c:pt idx="132">
                  <c:v>2.0045454545454533E-2</c:v>
                </c:pt>
                <c:pt idx="133">
                  <c:v>1.989473684210525E-2</c:v>
                </c:pt>
                <c:pt idx="134">
                  <c:v>1.9746268656716404E-2</c:v>
                </c:pt>
                <c:pt idx="135">
                  <c:v>1.9599999999999985E-2</c:v>
                </c:pt>
                <c:pt idx="136">
                  <c:v>1.9455882352941163E-2</c:v>
                </c:pt>
                <c:pt idx="137">
                  <c:v>1.9313868613138673E-2</c:v>
                </c:pt>
                <c:pt idx="138">
                  <c:v>1.9173913043478246E-2</c:v>
                </c:pt>
                <c:pt idx="139">
                  <c:v>1.9035971223021569E-2</c:v>
                </c:pt>
                <c:pt idx="140">
                  <c:v>1.8899999999999986E-2</c:v>
                </c:pt>
                <c:pt idx="141">
                  <c:v>1.8765957446808496E-2</c:v>
                </c:pt>
                <c:pt idx="142">
                  <c:v>1.8633802816901395E-2</c:v>
                </c:pt>
                <c:pt idx="143">
                  <c:v>1.8503496503496492E-2</c:v>
                </c:pt>
                <c:pt idx="144">
                  <c:v>1.8374999999999989E-2</c:v>
                </c:pt>
                <c:pt idx="145">
                  <c:v>1.8248275862068952E-2</c:v>
                </c:pt>
                <c:pt idx="146">
                  <c:v>1.8123287671232863E-2</c:v>
                </c:pt>
                <c:pt idx="147">
                  <c:v>1.7999999999999988E-2</c:v>
                </c:pt>
                <c:pt idx="148">
                  <c:v>1.7878378378378367E-2</c:v>
                </c:pt>
                <c:pt idx="149">
                  <c:v>1.7758389261744955E-2</c:v>
                </c:pt>
                <c:pt idx="150">
                  <c:v>1.7639999999999989E-2</c:v>
                </c:pt>
                <c:pt idx="151">
                  <c:v>1.740713126617251E-2</c:v>
                </c:pt>
                <c:pt idx="152">
                  <c:v>1.7178843490304685E-2</c:v>
                </c:pt>
                <c:pt idx="153">
                  <c:v>1.6955017301038038E-2</c:v>
                </c:pt>
                <c:pt idx="154">
                  <c:v>1.6735537190082622E-2</c:v>
                </c:pt>
                <c:pt idx="155">
                  <c:v>1.652029136316335E-2</c:v>
                </c:pt>
                <c:pt idx="156">
                  <c:v>1.630917159763311E-2</c:v>
                </c:pt>
                <c:pt idx="157">
                  <c:v>1.6102073106414032E-2</c:v>
                </c:pt>
                <c:pt idx="158">
                  <c:v>1.5898894407947419E-2</c:v>
                </c:pt>
                <c:pt idx="159">
                  <c:v>1.5699537201851171E-2</c:v>
                </c:pt>
                <c:pt idx="160">
                  <c:v>1.5503906249999977E-2</c:v>
                </c:pt>
                <c:pt idx="161">
                  <c:v>1.5311909262759903E-2</c:v>
                </c:pt>
                <c:pt idx="162">
                  <c:v>1.5123456790123434E-2</c:v>
                </c:pt>
                <c:pt idx="163">
                  <c:v>1.4938462117505344E-2</c:v>
                </c:pt>
                <c:pt idx="164">
                  <c:v>1.4756841165972614E-2</c:v>
                </c:pt>
                <c:pt idx="165">
                  <c:v>1.4578512396694193E-2</c:v>
                </c:pt>
                <c:pt idx="166">
                  <c:v>1.440339671940773E-2</c:v>
                </c:pt>
                <c:pt idx="167">
                  <c:v>1.4231417404711514E-2</c:v>
                </c:pt>
                <c:pt idx="168">
                  <c:v>1.406249999999998E-2</c:v>
                </c:pt>
                <c:pt idx="169">
                  <c:v>1.3896572248870817E-2</c:v>
                </c:pt>
                <c:pt idx="170">
                  <c:v>1.3733564013840811E-2</c:v>
                </c:pt>
                <c:pt idx="171">
                  <c:v>1.3573407202216047E-2</c:v>
                </c:pt>
                <c:pt idx="172">
                  <c:v>1.3416035694970234E-2</c:v>
                </c:pt>
                <c:pt idx="173">
                  <c:v>1.3261385278492414E-2</c:v>
                </c:pt>
                <c:pt idx="174">
                  <c:v>1.3109393579072514E-2</c:v>
                </c:pt>
                <c:pt idx="175">
                  <c:v>1.2959999999999982E-2</c:v>
                </c:pt>
                <c:pt idx="176">
                  <c:v>1.2813145661157006E-2</c:v>
                </c:pt>
                <c:pt idx="177">
                  <c:v>1.266877334099395E-2</c:v>
                </c:pt>
                <c:pt idx="178">
                  <c:v>1.2526827420780186E-2</c:v>
                </c:pt>
                <c:pt idx="179">
                  <c:v>1.2387253831028976E-2</c:v>
                </c:pt>
                <c:pt idx="180">
                  <c:v>1.2249999999999981E-2</c:v>
                </c:pt>
                <c:pt idx="181">
                  <c:v>1.2115014804187888E-2</c:v>
                </c:pt>
                <c:pt idx="182">
                  <c:v>1.1982248520710042E-2</c:v>
                </c:pt>
                <c:pt idx="183">
                  <c:v>1.1851652781510329E-2</c:v>
                </c:pt>
                <c:pt idx="184">
                  <c:v>1.1723180529300551E-2</c:v>
                </c:pt>
                <c:pt idx="185">
                  <c:v>1.1596785975164337E-2</c:v>
                </c:pt>
                <c:pt idx="186">
                  <c:v>1.1472424557752324E-2</c:v>
                </c:pt>
                <c:pt idx="187">
                  <c:v>1.1350052904000669E-2</c:v>
                </c:pt>
                <c:pt idx="188">
                  <c:v>1.1229628791308267E-2</c:v>
                </c:pt>
                <c:pt idx="189">
                  <c:v>1.1111111111111094E-2</c:v>
                </c:pt>
                <c:pt idx="190">
                  <c:v>1.0994459833794998E-2</c:v>
                </c:pt>
                <c:pt idx="191">
                  <c:v>1.0879635974891022E-2</c:v>
                </c:pt>
                <c:pt idx="192">
                  <c:v>1.0766601562499985E-2</c:v>
                </c:pt>
                <c:pt idx="193">
                  <c:v>1.0655319605895445E-2</c:v>
                </c:pt>
                <c:pt idx="194">
                  <c:v>1.0545754065256653E-2</c:v>
                </c:pt>
                <c:pt idx="195">
                  <c:v>1.0437869822485192E-2</c:v>
                </c:pt>
                <c:pt idx="196">
                  <c:v>1.033163265306121E-2</c:v>
                </c:pt>
                <c:pt idx="197">
                  <c:v>1.0227009198897147E-2</c:v>
                </c:pt>
                <c:pt idx="198">
                  <c:v>1.0123966942148746E-2</c:v>
                </c:pt>
                <c:pt idx="199">
                  <c:v>1.0022474179944937E-2</c:v>
                </c:pt>
                <c:pt idx="200">
                  <c:v>9.9224999999999869E-3</c:v>
                </c:pt>
                <c:pt idx="201">
                  <c:v>9.8240142570728359E-3</c:v>
                </c:pt>
                <c:pt idx="202">
                  <c:v>9.7269875502401654E-3</c:v>
                </c:pt>
                <c:pt idx="203">
                  <c:v>9.6313912009512431E-3</c:v>
                </c:pt>
                <c:pt idx="204">
                  <c:v>9.537197231833907E-3</c:v>
                </c:pt>
                <c:pt idx="205">
                  <c:v>9.4443783462224845E-3</c:v>
                </c:pt>
                <c:pt idx="206">
                  <c:v>9.3529079083796793E-3</c:v>
                </c:pt>
                <c:pt idx="207">
                  <c:v>9.2627599243856346E-3</c:v>
                </c:pt>
                <c:pt idx="208">
                  <c:v>9.1739090236686426E-3</c:v>
                </c:pt>
                <c:pt idx="209">
                  <c:v>9.0863304411529094E-3</c:v>
                </c:pt>
                <c:pt idx="210">
                  <c:v>9.000000000000008E-3</c:v>
                </c:pt>
                <c:pt idx="211">
                  <c:v>8.9148940949215078E-3</c:v>
                </c:pt>
                <c:pt idx="212">
                  <c:v>8.8309896760413072E-3</c:v>
                </c:pt>
                <c:pt idx="213">
                  <c:v>8.7482642332870585E-3</c:v>
                </c:pt>
                <c:pt idx="214">
                  <c:v>8.6666957812909558E-3</c:v>
                </c:pt>
                <c:pt idx="215">
                  <c:v>8.5862628447809786E-3</c:v>
                </c:pt>
                <c:pt idx="216">
                  <c:v>8.5069444444444628E-3</c:v>
                </c:pt>
                <c:pt idx="217">
                  <c:v>8.4287200832466359E-3</c:v>
                </c:pt>
                <c:pt idx="218">
                  <c:v>8.3515697331874618E-3</c:v>
                </c:pt>
                <c:pt idx="219">
                  <c:v>8.2754738224807868E-3</c:v>
                </c:pt>
                <c:pt idx="220">
                  <c:v>8.2004132231405184E-3</c:v>
                </c:pt>
                <c:pt idx="221">
                  <c:v>8.1263692389590952E-3</c:v>
                </c:pt>
                <c:pt idx="222">
                  <c:v>8.0533235938641604E-3</c:v>
                </c:pt>
                <c:pt idx="223">
                  <c:v>7.9812584206398942E-3</c:v>
                </c:pt>
                <c:pt idx="224">
                  <c:v>7.9101562500000274E-3</c:v>
                </c:pt>
                <c:pt idx="225">
                  <c:v>7.8400000000000275E-3</c:v>
                </c:pt>
                <c:pt idx="226">
                  <c:v>7.7707729657765191E-3</c:v>
                </c:pt>
                <c:pt idx="227">
                  <c:v>7.70245880960239E-3</c:v>
                </c:pt>
                <c:pt idx="228">
                  <c:v>7.6350415512465688E-3</c:v>
                </c:pt>
                <c:pt idx="229">
                  <c:v>7.5685055586278234E-3</c:v>
                </c:pt>
                <c:pt idx="230">
                  <c:v>7.5028355387523962E-3</c:v>
                </c:pt>
                <c:pt idx="231">
                  <c:v>7.4380165289256546E-3</c:v>
                </c:pt>
                <c:pt idx="232">
                  <c:v>7.374033888228335E-3</c:v>
                </c:pt>
                <c:pt idx="233">
                  <c:v>7.3108732892483179E-3</c:v>
                </c:pt>
                <c:pt idx="234">
                  <c:v>7.248520710059209E-3</c:v>
                </c:pt>
                <c:pt idx="235">
                  <c:v>7.1869624264373393E-3</c:v>
                </c:pt>
                <c:pt idx="236">
                  <c:v>7.1261850043091452E-3</c:v>
                </c:pt>
                <c:pt idx="237">
                  <c:v>7.0661752924211256E-3</c:v>
                </c:pt>
                <c:pt idx="238">
                  <c:v>7.0069204152249541E-3</c:v>
                </c:pt>
                <c:pt idx="239">
                  <c:v>6.948407765970525E-3</c:v>
                </c:pt>
                <c:pt idx="240">
                  <c:v>6.8906250000000425E-3</c:v>
                </c:pt>
                <c:pt idx="241">
                  <c:v>6.8335600282364711E-3</c:v>
                </c:pt>
                <c:pt idx="242">
                  <c:v>6.7772010108599571E-3</c:v>
                </c:pt>
                <c:pt idx="243">
                  <c:v>6.7215363511660244E-3</c:v>
                </c:pt>
                <c:pt idx="244">
                  <c:v>6.6665546895996143E-3</c:v>
                </c:pt>
                <c:pt idx="245">
                  <c:v>6.6122448979592284E-3</c:v>
                </c:pt>
                <c:pt idx="246">
                  <c:v>6.5585960737656619E-3</c:v>
                </c:pt>
                <c:pt idx="247">
                  <c:v>6.5055975347899954E-3</c:v>
                </c:pt>
                <c:pt idx="248">
                  <c:v>6.4532388137357385E-3</c:v>
                </c:pt>
                <c:pt idx="249">
                  <c:v>6.4015096530701593E-3</c:v>
                </c:pt>
                <c:pt idx="250">
                  <c:v>6.3504000000000477E-3</c:v>
                </c:pt>
                <c:pt idx="251">
                  <c:v>6.2999000015873247E-3</c:v>
                </c:pt>
                <c:pt idx="252">
                  <c:v>6.2500000000000489E-3</c:v>
                </c:pt>
                <c:pt idx="253">
                  <c:v>6.200690527894564E-3</c:v>
                </c:pt>
                <c:pt idx="254">
                  <c:v>6.1519623039246575E-3</c:v>
                </c:pt>
                <c:pt idx="255">
                  <c:v>6.1038062283737529E-3</c:v>
                </c:pt>
                <c:pt idx="256">
                  <c:v>6.0562133789063E-3</c:v>
                </c:pt>
                <c:pt idx="257">
                  <c:v>6.0091750064346673E-3</c:v>
                </c:pt>
                <c:pt idx="258">
                  <c:v>5.9626825310979421E-3</c:v>
                </c:pt>
                <c:pt idx="259">
                  <c:v>5.9167275383492125E-3</c:v>
                </c:pt>
                <c:pt idx="260">
                  <c:v>5.8713017751479812E-3</c:v>
                </c:pt>
                <c:pt idx="261">
                  <c:v>5.8263971462545116E-3</c:v>
                </c:pt>
                <c:pt idx="262">
                  <c:v>5.7820057106229769E-3</c:v>
                </c:pt>
                <c:pt idx="263">
                  <c:v>5.7381196778904381E-3</c:v>
                </c:pt>
                <c:pt idx="264">
                  <c:v>5.6947314049587312E-3</c:v>
                </c:pt>
                <c:pt idx="265">
                  <c:v>5.6518333926664837E-3</c:v>
                </c:pt>
                <c:pt idx="266">
                  <c:v>5.6094182825485303E-3</c:v>
                </c:pt>
                <c:pt idx="267">
                  <c:v>5.5674788536801455E-3</c:v>
                </c:pt>
                <c:pt idx="268">
                  <c:v>5.5260080196035304E-3</c:v>
                </c:pt>
                <c:pt idx="269">
                  <c:v>5.4849988253341435E-3</c:v>
                </c:pt>
                <c:pt idx="270">
                  <c:v>5.4444444444445E-3</c:v>
                </c:pt>
                <c:pt idx="271">
                  <c:v>5.4043381762231462E-3</c:v>
                </c:pt>
                <c:pt idx="272">
                  <c:v>5.3646734429066301E-3</c:v>
                </c:pt>
                <c:pt idx="273">
                  <c:v>5.325443786982304E-3</c:v>
                </c:pt>
                <c:pt idx="274">
                  <c:v>5.2866428685599152E-3</c:v>
                </c:pt>
                <c:pt idx="275">
                  <c:v>5.2482644628099743E-3</c:v>
                </c:pt>
                <c:pt idx="276">
                  <c:v>5.2103024574669757E-3</c:v>
                </c:pt>
                <c:pt idx="277">
                  <c:v>5.1727508503956049E-3</c:v>
                </c:pt>
                <c:pt idx="278">
                  <c:v>5.1356037472181093E-3</c:v>
                </c:pt>
                <c:pt idx="279">
                  <c:v>5.0988553590010973E-3</c:v>
                </c:pt>
                <c:pt idx="280">
                  <c:v>5.0625000000000574E-3</c:v>
                </c:pt>
                <c:pt idx="281">
                  <c:v>5.0265320854599674E-3</c:v>
                </c:pt>
                <c:pt idx="282">
                  <c:v>4.9909461294704062E-3</c:v>
                </c:pt>
                <c:pt idx="283">
                  <c:v>4.9557367428736104E-3</c:v>
                </c:pt>
                <c:pt idx="284">
                  <c:v>4.9208986312240218E-3</c:v>
                </c:pt>
                <c:pt idx="285">
                  <c:v>4.8864265927978413E-3</c:v>
                </c:pt>
                <c:pt idx="286">
                  <c:v>4.8523155166512386E-3</c:v>
                </c:pt>
                <c:pt idx="287">
                  <c:v>4.8185603807258167E-3</c:v>
                </c:pt>
                <c:pt idx="288">
                  <c:v>4.7851562500000576E-3</c:v>
                </c:pt>
                <c:pt idx="289">
                  <c:v>4.7520982746854668E-3</c:v>
                </c:pt>
                <c:pt idx="290">
                  <c:v>4.7193816884661703E-3</c:v>
                </c:pt>
                <c:pt idx="291">
                  <c:v>4.6870018067808007E-3</c:v>
                </c:pt>
                <c:pt idx="292">
                  <c:v>4.6549540251454892E-3</c:v>
                </c:pt>
                <c:pt idx="293">
                  <c:v>4.6232338175168615E-3</c:v>
                </c:pt>
                <c:pt idx="294">
                  <c:v>4.5918367346939369E-3</c:v>
                </c:pt>
                <c:pt idx="295">
                  <c:v>4.5607584027578868E-3</c:v>
                </c:pt>
                <c:pt idx="296">
                  <c:v>4.5299945215486349E-3</c:v>
                </c:pt>
                <c:pt idx="297">
                  <c:v>4.4995408631772864E-3</c:v>
                </c:pt>
                <c:pt idx="298">
                  <c:v>4.4693932705734572E-3</c:v>
                </c:pt>
                <c:pt idx="299">
                  <c:v>4.439547656066546E-3</c:v>
                </c:pt>
                <c:pt idx="300">
                  <c:v>4.4100000000000597E-3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BC-4176-89B1-4D2FFD38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91968"/>
        <c:axId val="221892544"/>
      </c:scatterChart>
      <c:valAx>
        <c:axId val="221891968"/>
        <c:scaling>
          <c:orientation val="minMax"/>
          <c:max val="4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2544"/>
        <c:crosses val="autoZero"/>
        <c:crossBetween val="midCat"/>
      </c:valAx>
      <c:valAx>
        <c:axId val="221892544"/>
        <c:scaling>
          <c:orientation val="minMax"/>
          <c:max val="0.60000000000000009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Peak Accel (S</a:t>
                </a:r>
                <a:r>
                  <a:rPr lang="en-US" altLang="ko-KR" baseline="-25000"/>
                  <a:t>a</a:t>
                </a:r>
                <a:r>
                  <a:rPr lang="en-US" altLang="ko-KR"/>
                  <a:t>, g)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1968"/>
        <c:crosses val="autoZero"/>
        <c:crossBetween val="midCat"/>
        <c:majorUnit val="0.1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7366041666666666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X)'!$D$3:$D$303</c:f>
              <c:numCache>
                <c:formatCode>0.0000_ </c:formatCode>
                <c:ptCount val="301"/>
                <c:pt idx="0">
                  <c:v>0</c:v>
                </c:pt>
                <c:pt idx="1">
                  <c:v>2.3858815150446639E-3</c:v>
                </c:pt>
                <c:pt idx="2">
                  <c:v>6.5611741663728256E-3</c:v>
                </c:pt>
                <c:pt idx="3">
                  <c:v>1.2525877953984483E-2</c:v>
                </c:pt>
                <c:pt idx="4">
                  <c:v>1.6701170605312649E-2</c:v>
                </c:pt>
                <c:pt idx="5">
                  <c:v>2.0876463256640804E-2</c:v>
                </c:pt>
                <c:pt idx="6">
                  <c:v>2.5051755907968969E-2</c:v>
                </c:pt>
                <c:pt idx="7">
                  <c:v>2.9227048559297131E-2</c:v>
                </c:pt>
                <c:pt idx="8">
                  <c:v>3.3402341210625297E-2</c:v>
                </c:pt>
                <c:pt idx="9">
                  <c:v>3.7577633861953445E-2</c:v>
                </c:pt>
                <c:pt idx="10">
                  <c:v>4.1752926513281607E-2</c:v>
                </c:pt>
                <c:pt idx="11">
                  <c:v>4.592821916460977E-2</c:v>
                </c:pt>
                <c:pt idx="12">
                  <c:v>5.0103511815937932E-2</c:v>
                </c:pt>
                <c:pt idx="13">
                  <c:v>5.4278804467266087E-2</c:v>
                </c:pt>
                <c:pt idx="14">
                  <c:v>5.8454097118594242E-2</c:v>
                </c:pt>
                <c:pt idx="15">
                  <c:v>6.2629389769922411E-2</c:v>
                </c:pt>
                <c:pt idx="16">
                  <c:v>6.2629389769922425E-2</c:v>
                </c:pt>
                <c:pt idx="17">
                  <c:v>6.2629389769922425E-2</c:v>
                </c:pt>
                <c:pt idx="18">
                  <c:v>6.2629389769922425E-2</c:v>
                </c:pt>
                <c:pt idx="19">
                  <c:v>6.2629389769922425E-2</c:v>
                </c:pt>
                <c:pt idx="20">
                  <c:v>6.2629389769922411E-2</c:v>
                </c:pt>
                <c:pt idx="21">
                  <c:v>6.2629389769922425E-2</c:v>
                </c:pt>
                <c:pt idx="22">
                  <c:v>6.2629389769922411E-2</c:v>
                </c:pt>
                <c:pt idx="23">
                  <c:v>6.2629389769922425E-2</c:v>
                </c:pt>
                <c:pt idx="24">
                  <c:v>6.2629389769922411E-2</c:v>
                </c:pt>
                <c:pt idx="25">
                  <c:v>6.2629389769922411E-2</c:v>
                </c:pt>
                <c:pt idx="26">
                  <c:v>6.2629389769922425E-2</c:v>
                </c:pt>
                <c:pt idx="27">
                  <c:v>6.2629389769922411E-2</c:v>
                </c:pt>
                <c:pt idx="28">
                  <c:v>6.2629389769922425E-2</c:v>
                </c:pt>
                <c:pt idx="29">
                  <c:v>6.2629389769922411E-2</c:v>
                </c:pt>
                <c:pt idx="30">
                  <c:v>6.2629389769922411E-2</c:v>
                </c:pt>
                <c:pt idx="31">
                  <c:v>6.2629389769922411E-2</c:v>
                </c:pt>
                <c:pt idx="32">
                  <c:v>6.2629389769922411E-2</c:v>
                </c:pt>
                <c:pt idx="33">
                  <c:v>6.2629389769922425E-2</c:v>
                </c:pt>
                <c:pt idx="34">
                  <c:v>6.2629389769922425E-2</c:v>
                </c:pt>
                <c:pt idx="35">
                  <c:v>6.2629389769922425E-2</c:v>
                </c:pt>
                <c:pt idx="36">
                  <c:v>6.2629389769922425E-2</c:v>
                </c:pt>
                <c:pt idx="37">
                  <c:v>6.2629389769922425E-2</c:v>
                </c:pt>
                <c:pt idx="38">
                  <c:v>6.2629389769922411E-2</c:v>
                </c:pt>
                <c:pt idx="39">
                  <c:v>6.2629389769922425E-2</c:v>
                </c:pt>
                <c:pt idx="40">
                  <c:v>6.2629389769922425E-2</c:v>
                </c:pt>
                <c:pt idx="41">
                  <c:v>6.2629389769922425E-2</c:v>
                </c:pt>
                <c:pt idx="42">
                  <c:v>6.2629389769922425E-2</c:v>
                </c:pt>
                <c:pt idx="43">
                  <c:v>6.2629389769922425E-2</c:v>
                </c:pt>
                <c:pt idx="44">
                  <c:v>6.2629389769922411E-2</c:v>
                </c:pt>
                <c:pt idx="45">
                  <c:v>6.2629389769922425E-2</c:v>
                </c:pt>
                <c:pt idx="46">
                  <c:v>6.2629389769922425E-2</c:v>
                </c:pt>
                <c:pt idx="47">
                  <c:v>6.2629389769922425E-2</c:v>
                </c:pt>
                <c:pt idx="48">
                  <c:v>6.2629389769922411E-2</c:v>
                </c:pt>
                <c:pt idx="49">
                  <c:v>6.2629389769922425E-2</c:v>
                </c:pt>
                <c:pt idx="50">
                  <c:v>6.2629389769922425E-2</c:v>
                </c:pt>
                <c:pt idx="51">
                  <c:v>6.2629389769922411E-2</c:v>
                </c:pt>
                <c:pt idx="52">
                  <c:v>6.2629389769922411E-2</c:v>
                </c:pt>
                <c:pt idx="53">
                  <c:v>6.2629389769922411E-2</c:v>
                </c:pt>
                <c:pt idx="54">
                  <c:v>6.2629389769922425E-2</c:v>
                </c:pt>
                <c:pt idx="55">
                  <c:v>6.2629389769922425E-2</c:v>
                </c:pt>
                <c:pt idx="56">
                  <c:v>6.2629389769922425E-2</c:v>
                </c:pt>
                <c:pt idx="57">
                  <c:v>6.2629389769922425E-2</c:v>
                </c:pt>
                <c:pt idx="58">
                  <c:v>6.2629389769922425E-2</c:v>
                </c:pt>
                <c:pt idx="59">
                  <c:v>6.2629389769922411E-2</c:v>
                </c:pt>
                <c:pt idx="60">
                  <c:v>6.2629389769922411E-2</c:v>
                </c:pt>
                <c:pt idx="61">
                  <c:v>6.2629389769922425E-2</c:v>
                </c:pt>
                <c:pt idx="62">
                  <c:v>6.2629389769922411E-2</c:v>
                </c:pt>
                <c:pt idx="63">
                  <c:v>6.2629389769922425E-2</c:v>
                </c:pt>
                <c:pt idx="64">
                  <c:v>6.2629389769922411E-2</c:v>
                </c:pt>
                <c:pt idx="65">
                  <c:v>6.2629389769922411E-2</c:v>
                </c:pt>
                <c:pt idx="66">
                  <c:v>6.2629389769922425E-2</c:v>
                </c:pt>
                <c:pt idx="67">
                  <c:v>6.2629389769922411E-2</c:v>
                </c:pt>
                <c:pt idx="68">
                  <c:v>6.2629389769922425E-2</c:v>
                </c:pt>
                <c:pt idx="69">
                  <c:v>6.2629389769922411E-2</c:v>
                </c:pt>
                <c:pt idx="70">
                  <c:v>6.2629389769922425E-2</c:v>
                </c:pt>
                <c:pt idx="71">
                  <c:v>6.2629389769922425E-2</c:v>
                </c:pt>
                <c:pt idx="72">
                  <c:v>6.2629389769922411E-2</c:v>
                </c:pt>
                <c:pt idx="73">
                  <c:v>6.2629389769922425E-2</c:v>
                </c:pt>
                <c:pt idx="74">
                  <c:v>6.2629389769922411E-2</c:v>
                </c:pt>
                <c:pt idx="75">
                  <c:v>6.2629389769922411E-2</c:v>
                </c:pt>
                <c:pt idx="76">
                  <c:v>6.2629389769922411E-2</c:v>
                </c:pt>
                <c:pt idx="77">
                  <c:v>6.2629389769922425E-2</c:v>
                </c:pt>
                <c:pt idx="78">
                  <c:v>6.2629389769922411E-2</c:v>
                </c:pt>
                <c:pt idx="79">
                  <c:v>6.2629389769922425E-2</c:v>
                </c:pt>
                <c:pt idx="80">
                  <c:v>6.2629389769922425E-2</c:v>
                </c:pt>
                <c:pt idx="81">
                  <c:v>6.2629389769922439E-2</c:v>
                </c:pt>
                <c:pt idx="82">
                  <c:v>6.2629389769922411E-2</c:v>
                </c:pt>
                <c:pt idx="83">
                  <c:v>6.2629389769922425E-2</c:v>
                </c:pt>
                <c:pt idx="84">
                  <c:v>6.2629389769922411E-2</c:v>
                </c:pt>
                <c:pt idx="85">
                  <c:v>6.2629389769922425E-2</c:v>
                </c:pt>
                <c:pt idx="86">
                  <c:v>6.2629389769922425E-2</c:v>
                </c:pt>
                <c:pt idx="87">
                  <c:v>6.2629389769922411E-2</c:v>
                </c:pt>
                <c:pt idx="88">
                  <c:v>6.2629389769922425E-2</c:v>
                </c:pt>
                <c:pt idx="89">
                  <c:v>6.2629389769922439E-2</c:v>
                </c:pt>
                <c:pt idx="90">
                  <c:v>6.2629389769922411E-2</c:v>
                </c:pt>
                <c:pt idx="91">
                  <c:v>6.2629389769922411E-2</c:v>
                </c:pt>
                <c:pt idx="92">
                  <c:v>6.2629389769922439E-2</c:v>
                </c:pt>
                <c:pt idx="93">
                  <c:v>6.2629389769922411E-2</c:v>
                </c:pt>
                <c:pt idx="94">
                  <c:v>6.2629389769922425E-2</c:v>
                </c:pt>
                <c:pt idx="95">
                  <c:v>6.2629389769922425E-2</c:v>
                </c:pt>
                <c:pt idx="96">
                  <c:v>6.2629389769922425E-2</c:v>
                </c:pt>
                <c:pt idx="97">
                  <c:v>6.2629389769922425E-2</c:v>
                </c:pt>
                <c:pt idx="98">
                  <c:v>6.2629389769922411E-2</c:v>
                </c:pt>
                <c:pt idx="99">
                  <c:v>6.2629389769922411E-2</c:v>
                </c:pt>
                <c:pt idx="100">
                  <c:v>6.2629389769922439E-2</c:v>
                </c:pt>
                <c:pt idx="101">
                  <c:v>6.2629389769922411E-2</c:v>
                </c:pt>
                <c:pt idx="102">
                  <c:v>6.2629389769922411E-2</c:v>
                </c:pt>
                <c:pt idx="103">
                  <c:v>6.2629389769922425E-2</c:v>
                </c:pt>
                <c:pt idx="104">
                  <c:v>6.2629389769922425E-2</c:v>
                </c:pt>
                <c:pt idx="105">
                  <c:v>6.2629389769922425E-2</c:v>
                </c:pt>
                <c:pt idx="106">
                  <c:v>6.2629389769922425E-2</c:v>
                </c:pt>
                <c:pt idx="107">
                  <c:v>6.2629389769922425E-2</c:v>
                </c:pt>
                <c:pt idx="108">
                  <c:v>6.2629389769922425E-2</c:v>
                </c:pt>
                <c:pt idx="109">
                  <c:v>6.2629389769922411E-2</c:v>
                </c:pt>
                <c:pt idx="110">
                  <c:v>6.2629389769922425E-2</c:v>
                </c:pt>
                <c:pt idx="111">
                  <c:v>6.2629389769922425E-2</c:v>
                </c:pt>
                <c:pt idx="112">
                  <c:v>6.2629389769922411E-2</c:v>
                </c:pt>
                <c:pt idx="113">
                  <c:v>6.2629389769922425E-2</c:v>
                </c:pt>
                <c:pt idx="114">
                  <c:v>6.2629389769922425E-2</c:v>
                </c:pt>
                <c:pt idx="115">
                  <c:v>6.2629389769922411E-2</c:v>
                </c:pt>
                <c:pt idx="116">
                  <c:v>6.2629389769922425E-2</c:v>
                </c:pt>
                <c:pt idx="117">
                  <c:v>6.2629389769922425E-2</c:v>
                </c:pt>
                <c:pt idx="118">
                  <c:v>6.2629389769922411E-2</c:v>
                </c:pt>
                <c:pt idx="119">
                  <c:v>6.2629389769922425E-2</c:v>
                </c:pt>
                <c:pt idx="120">
                  <c:v>6.2629389769922425E-2</c:v>
                </c:pt>
                <c:pt idx="121">
                  <c:v>6.2629389769922411E-2</c:v>
                </c:pt>
                <c:pt idx="122">
                  <c:v>6.2629389769922425E-2</c:v>
                </c:pt>
                <c:pt idx="123">
                  <c:v>6.2629389769922411E-2</c:v>
                </c:pt>
                <c:pt idx="124">
                  <c:v>6.2629389769922411E-2</c:v>
                </c:pt>
                <c:pt idx="125">
                  <c:v>6.2629389769922425E-2</c:v>
                </c:pt>
                <c:pt idx="126">
                  <c:v>6.2629389769922425E-2</c:v>
                </c:pt>
                <c:pt idx="127">
                  <c:v>6.2629389769922425E-2</c:v>
                </c:pt>
                <c:pt idx="128">
                  <c:v>6.2629389769922425E-2</c:v>
                </c:pt>
                <c:pt idx="129">
                  <c:v>6.2629389769922425E-2</c:v>
                </c:pt>
                <c:pt idx="130">
                  <c:v>6.2629389769922411E-2</c:v>
                </c:pt>
                <c:pt idx="131">
                  <c:v>6.2629389769922425E-2</c:v>
                </c:pt>
                <c:pt idx="132">
                  <c:v>6.2629389769922425E-2</c:v>
                </c:pt>
                <c:pt idx="133">
                  <c:v>6.2629389769922425E-2</c:v>
                </c:pt>
                <c:pt idx="134">
                  <c:v>6.2629389769922411E-2</c:v>
                </c:pt>
                <c:pt idx="135">
                  <c:v>6.2629389769922411E-2</c:v>
                </c:pt>
                <c:pt idx="136">
                  <c:v>6.2629389769922425E-2</c:v>
                </c:pt>
                <c:pt idx="137">
                  <c:v>6.2629389769922425E-2</c:v>
                </c:pt>
                <c:pt idx="138">
                  <c:v>6.2629389769922411E-2</c:v>
                </c:pt>
                <c:pt idx="139">
                  <c:v>6.2629389769922411E-2</c:v>
                </c:pt>
                <c:pt idx="140">
                  <c:v>6.2629389769922411E-2</c:v>
                </c:pt>
                <c:pt idx="141">
                  <c:v>6.2629389769922425E-2</c:v>
                </c:pt>
                <c:pt idx="142">
                  <c:v>6.2629389769922425E-2</c:v>
                </c:pt>
                <c:pt idx="143">
                  <c:v>6.2629389769922439E-2</c:v>
                </c:pt>
                <c:pt idx="144">
                  <c:v>6.2629389769922425E-2</c:v>
                </c:pt>
                <c:pt idx="145">
                  <c:v>6.2629389769922411E-2</c:v>
                </c:pt>
                <c:pt idx="146">
                  <c:v>6.2629389769922425E-2</c:v>
                </c:pt>
                <c:pt idx="147">
                  <c:v>6.2629389769922425E-2</c:v>
                </c:pt>
                <c:pt idx="148">
                  <c:v>6.2629389769922425E-2</c:v>
                </c:pt>
                <c:pt idx="149">
                  <c:v>6.2629389769922425E-2</c:v>
                </c:pt>
                <c:pt idx="150">
                  <c:v>6.2629389769922439E-2</c:v>
                </c:pt>
                <c:pt idx="151">
                  <c:v>6.221462559926063E-2</c:v>
                </c:pt>
                <c:pt idx="152">
                  <c:v>6.1805318851897086E-2</c:v>
                </c:pt>
                <c:pt idx="153">
                  <c:v>6.1401362519531752E-2</c:v>
                </c:pt>
                <c:pt idx="154">
                  <c:v>6.1002652373301006E-2</c:v>
                </c:pt>
                <c:pt idx="155">
                  <c:v>6.0609086874118423E-2</c:v>
                </c:pt>
                <c:pt idx="156">
                  <c:v>6.0220567086463811E-2</c:v>
                </c:pt>
                <c:pt idx="157">
                  <c:v>5.9836996595467241E-2</c:v>
                </c:pt>
                <c:pt idx="158">
                  <c:v>5.9458281427141484E-2</c:v>
                </c:pt>
                <c:pt idx="159">
                  <c:v>5.9084329971624883E-2</c:v>
                </c:pt>
                <c:pt idx="160">
                  <c:v>5.8715052909302227E-2</c:v>
                </c:pt>
                <c:pt idx="161">
                  <c:v>5.8350363139679236E-2</c:v>
                </c:pt>
                <c:pt idx="162">
                  <c:v>5.7990175712891077E-2</c:v>
                </c:pt>
                <c:pt idx="163">
                  <c:v>5.7634407763732236E-2</c:v>
                </c:pt>
                <c:pt idx="164">
                  <c:v>5.7282978448099729E-2</c:v>
                </c:pt>
                <c:pt idx="165">
                  <c:v>5.693580888174761E-2</c:v>
                </c:pt>
                <c:pt idx="166">
                  <c:v>5.6592822081255156E-2</c:v>
                </c:pt>
                <c:pt idx="167">
                  <c:v>5.6253942907115904E-2</c:v>
                </c:pt>
                <c:pt idx="168">
                  <c:v>5.5919098008859268E-2</c:v>
                </c:pt>
                <c:pt idx="169">
                  <c:v>5.5588215772120447E-2</c:v>
                </c:pt>
                <c:pt idx="170">
                  <c:v>5.5261226267578574E-2</c:v>
                </c:pt>
                <c:pt idx="171">
                  <c:v>5.4938061201686296E-2</c:v>
                </c:pt>
                <c:pt idx="172">
                  <c:v>5.461865386911835E-2</c:v>
                </c:pt>
                <c:pt idx="173">
                  <c:v>5.4302939106869112E-2</c:v>
                </c:pt>
                <c:pt idx="174">
                  <c:v>5.3990853249933093E-2</c:v>
                </c:pt>
                <c:pt idx="175">
                  <c:v>5.3682334088504882E-2</c:v>
                </c:pt>
                <c:pt idx="176">
                  <c:v>5.3377320826638389E-2</c:v>
                </c:pt>
                <c:pt idx="177">
                  <c:v>5.3075754042307098E-2</c:v>
                </c:pt>
                <c:pt idx="178">
                  <c:v>5.2777575648810991E-2</c:v>
                </c:pt>
                <c:pt idx="179">
                  <c:v>5.2482728857476853E-2</c:v>
                </c:pt>
                <c:pt idx="180">
                  <c:v>5.2191158141601975E-2</c:v>
                </c:pt>
                <c:pt idx="181">
                  <c:v>5.1902809201593118E-2</c:v>
                </c:pt>
                <c:pt idx="182">
                  <c:v>5.1617628931254704E-2</c:v>
                </c:pt>
                <c:pt idx="183">
                  <c:v>5.1335565385182275E-2</c:v>
                </c:pt>
                <c:pt idx="184">
                  <c:v>5.1056567747219332E-2</c:v>
                </c:pt>
                <c:pt idx="185">
                  <c:v>5.0780586299937057E-2</c:v>
                </c:pt>
                <c:pt idx="186">
                  <c:v>5.050757239509869E-2</c:v>
                </c:pt>
                <c:pt idx="187">
                  <c:v>5.0237478425071418E-2</c:v>
                </c:pt>
                <c:pt idx="188">
                  <c:v>4.9970257795150831E-2</c:v>
                </c:pt>
                <c:pt idx="189">
                  <c:v>4.9705864896763784E-2</c:v>
                </c:pt>
                <c:pt idx="190">
                  <c:v>4.9444255081517667E-2</c:v>
                </c:pt>
                <c:pt idx="191">
                  <c:v>4.9185384636064686E-2</c:v>
                </c:pt>
                <c:pt idx="192">
                  <c:v>4.8929210757751862E-2</c:v>
                </c:pt>
                <c:pt idx="193">
                  <c:v>4.8675691531027757E-2</c:v>
                </c:pt>
                <c:pt idx="194">
                  <c:v>4.8424785904579146E-2</c:v>
                </c:pt>
                <c:pt idx="195">
                  <c:v>4.817645366917106E-2</c:v>
                </c:pt>
                <c:pt idx="196">
                  <c:v>4.7930655436165079E-2</c:v>
                </c:pt>
                <c:pt idx="197">
                  <c:v>4.7687352616692158E-2</c:v>
                </c:pt>
                <c:pt idx="198">
                  <c:v>4.744650740145636E-2</c:v>
                </c:pt>
                <c:pt idx="199">
                  <c:v>4.7208082741147524E-2</c:v>
                </c:pt>
                <c:pt idx="200">
                  <c:v>4.6972042327441781E-2</c:v>
                </c:pt>
                <c:pt idx="201">
                  <c:v>4.6738350574568946E-2</c:v>
                </c:pt>
                <c:pt idx="202">
                  <c:v>4.6506972601427526E-2</c:v>
                </c:pt>
                <c:pt idx="203">
                  <c:v>4.6277874214228382E-2</c:v>
                </c:pt>
                <c:pt idx="204">
                  <c:v>4.6051021889648831E-2</c:v>
                </c:pt>
                <c:pt idx="205">
                  <c:v>4.5826382758479813E-2</c:v>
                </c:pt>
                <c:pt idx="206">
                  <c:v>4.5603924589749344E-2</c:v>
                </c:pt>
                <c:pt idx="207">
                  <c:v>4.5383615775306106E-2</c:v>
                </c:pt>
                <c:pt idx="208">
                  <c:v>4.5165425314847907E-2</c:v>
                </c:pt>
                <c:pt idx="209">
                  <c:v>4.494932280137974E-2</c:v>
                </c:pt>
                <c:pt idx="210">
                  <c:v>4.4735278407087464E-2</c:v>
                </c:pt>
                <c:pt idx="211">
                  <c:v>4.4523262869613119E-2</c:v>
                </c:pt>
                <c:pt idx="212">
                  <c:v>4.4313247478718731E-2</c:v>
                </c:pt>
                <c:pt idx="213">
                  <c:v>4.410520406332568E-2</c:v>
                </c:pt>
                <c:pt idx="214">
                  <c:v>4.3899104978917615E-2</c:v>
                </c:pt>
                <c:pt idx="215">
                  <c:v>4.3694923095294755E-2</c:v>
                </c:pt>
                <c:pt idx="216">
                  <c:v>4.3492631784668397E-2</c:v>
                </c:pt>
                <c:pt idx="217">
                  <c:v>4.3292204910084668E-2</c:v>
                </c:pt>
                <c:pt idx="218">
                  <c:v>4.3093616814166853E-2</c:v>
                </c:pt>
                <c:pt idx="219">
                  <c:v>4.2896842308166094E-2</c:v>
                </c:pt>
                <c:pt idx="220">
                  <c:v>4.2701856661310801E-2</c:v>
                </c:pt>
                <c:pt idx="221">
                  <c:v>4.250863559044514E-2</c:v>
                </c:pt>
                <c:pt idx="222">
                  <c:v>4.2317155249947648E-2</c:v>
                </c:pt>
                <c:pt idx="223">
                  <c:v>4.2127392221920974E-2</c:v>
                </c:pt>
                <c:pt idx="224">
                  <c:v>4.1939323506644546E-2</c:v>
                </c:pt>
                <c:pt idx="225">
                  <c:v>4.1752926513281684E-2</c:v>
                </c:pt>
                <c:pt idx="226">
                  <c:v>4.1568179050833542E-2</c:v>
                </c:pt>
                <c:pt idx="227">
                  <c:v>4.1385059319332076E-2</c:v>
                </c:pt>
                <c:pt idx="228">
                  <c:v>4.1203545901264835E-2</c:v>
                </c:pt>
                <c:pt idx="229">
                  <c:v>4.1023617753224384E-2</c:v>
                </c:pt>
                <c:pt idx="230">
                  <c:v>4.0845254197775578E-2</c:v>
                </c:pt>
                <c:pt idx="231">
                  <c:v>4.0668434915534138E-2</c:v>
                </c:pt>
                <c:pt idx="232">
                  <c:v>4.0493139937449935E-2</c:v>
                </c:pt>
                <c:pt idx="233">
                  <c:v>4.0319349637289205E-2</c:v>
                </c:pt>
                <c:pt idx="234">
                  <c:v>4.0147044724309341E-2</c:v>
                </c:pt>
                <c:pt idx="235">
                  <c:v>3.9976206236120797E-2</c:v>
                </c:pt>
                <c:pt idx="236">
                  <c:v>3.9806815531730461E-2</c:v>
                </c:pt>
                <c:pt idx="237">
                  <c:v>3.9638854284761139E-2</c:v>
                </c:pt>
                <c:pt idx="238">
                  <c:v>3.9472304476841982E-2</c:v>
                </c:pt>
                <c:pt idx="239">
                  <c:v>3.9307148391164816E-2</c:v>
                </c:pt>
                <c:pt idx="240">
                  <c:v>3.9143368606201635E-2</c:v>
                </c:pt>
                <c:pt idx="241">
                  <c:v>3.8980947989578393E-2</c:v>
                </c:pt>
                <c:pt idx="242">
                  <c:v>3.8819869692100793E-2</c:v>
                </c:pt>
                <c:pt idx="243">
                  <c:v>3.866011714192754E-2</c:v>
                </c:pt>
                <c:pt idx="244">
                  <c:v>3.8501674038886866E-2</c:v>
                </c:pt>
                <c:pt idx="245">
                  <c:v>3.8344524348932221E-2</c:v>
                </c:pt>
                <c:pt idx="246">
                  <c:v>3.8188652298733312E-2</c:v>
                </c:pt>
                <c:pt idx="247">
                  <c:v>3.8034042370398369E-2</c:v>
                </c:pt>
                <c:pt idx="248">
                  <c:v>3.7880679296324174E-2</c:v>
                </c:pt>
                <c:pt idx="249">
                  <c:v>3.7728548054170266E-2</c:v>
                </c:pt>
                <c:pt idx="250">
                  <c:v>3.7577633861953591E-2</c:v>
                </c:pt>
                <c:pt idx="251">
                  <c:v>3.7427922173260554E-2</c:v>
                </c:pt>
                <c:pt idx="252">
                  <c:v>3.7279398672573016E-2</c:v>
                </c:pt>
                <c:pt idx="253">
                  <c:v>3.7132049270705139E-2</c:v>
                </c:pt>
                <c:pt idx="254">
                  <c:v>3.6985860100348038E-2</c:v>
                </c:pt>
                <c:pt idx="255">
                  <c:v>3.684081751171922E-2</c:v>
                </c:pt>
                <c:pt idx="256">
                  <c:v>3.669690806831407E-2</c:v>
                </c:pt>
                <c:pt idx="257">
                  <c:v>3.6554118542756434E-2</c:v>
                </c:pt>
                <c:pt idx="258">
                  <c:v>3.6412435912745747E-2</c:v>
                </c:pt>
                <c:pt idx="259">
                  <c:v>3.627184735709809E-2</c:v>
                </c:pt>
                <c:pt idx="260">
                  <c:v>3.6132340251878482E-2</c:v>
                </c:pt>
                <c:pt idx="261">
                  <c:v>3.5993902166622238E-2</c:v>
                </c:pt>
                <c:pt idx="262">
                  <c:v>3.5856520860642775E-2</c:v>
                </c:pt>
                <c:pt idx="263">
                  <c:v>3.5720184279423604E-2</c:v>
                </c:pt>
                <c:pt idx="264">
                  <c:v>3.5584880551092449E-2</c:v>
                </c:pt>
                <c:pt idx="265">
                  <c:v>3.5450597982975125E-2</c:v>
                </c:pt>
                <c:pt idx="266">
                  <c:v>3.53173250582271E-2</c:v>
                </c:pt>
                <c:pt idx="267">
                  <c:v>3.518505043254086E-2</c:v>
                </c:pt>
                <c:pt idx="268">
                  <c:v>3.50537629309269E-2</c:v>
                </c:pt>
                <c:pt idx="269">
                  <c:v>3.4923451544566581E-2</c:v>
                </c:pt>
                <c:pt idx="270">
                  <c:v>3.479410542773486E-2</c:v>
                </c:pt>
                <c:pt idx="271">
                  <c:v>3.4665713894791186E-2</c:v>
                </c:pt>
                <c:pt idx="272">
                  <c:v>3.4538266417236813E-2</c:v>
                </c:pt>
                <c:pt idx="273">
                  <c:v>3.4411752620836678E-2</c:v>
                </c:pt>
                <c:pt idx="274">
                  <c:v>3.4286162282804428E-2</c:v>
                </c:pt>
                <c:pt idx="275">
                  <c:v>3.416148532904878E-2</c:v>
                </c:pt>
                <c:pt idx="276">
                  <c:v>3.4037711831479765E-2</c:v>
                </c:pt>
                <c:pt idx="277">
                  <c:v>3.391483200537334E-2</c:v>
                </c:pt>
                <c:pt idx="278">
                  <c:v>3.3792836206792853E-2</c:v>
                </c:pt>
                <c:pt idx="279">
                  <c:v>3.3671714930066002E-2</c:v>
                </c:pt>
                <c:pt idx="280">
                  <c:v>3.3551458805315772E-2</c:v>
                </c:pt>
                <c:pt idx="281">
                  <c:v>3.343205859604418E-2</c:v>
                </c:pt>
                <c:pt idx="282">
                  <c:v>3.3313505196767443E-2</c:v>
                </c:pt>
                <c:pt idx="283">
                  <c:v>3.319578963070112E-2</c:v>
                </c:pt>
                <c:pt idx="284">
                  <c:v>3.3078903047494439E-2</c:v>
                </c:pt>
                <c:pt idx="285">
                  <c:v>3.2962836721011995E-2</c:v>
                </c:pt>
                <c:pt idx="286">
                  <c:v>3.2847582047162302E-2</c:v>
                </c:pt>
                <c:pt idx="287">
                  <c:v>3.2733130541771502E-2</c:v>
                </c:pt>
                <c:pt idx="288">
                  <c:v>3.2619473838501452E-2</c:v>
                </c:pt>
                <c:pt idx="289">
                  <c:v>3.2506603686811145E-2</c:v>
                </c:pt>
                <c:pt idx="290">
                  <c:v>3.2394511949960077E-2</c:v>
                </c:pt>
                <c:pt idx="291">
                  <c:v>3.2283190603053E-2</c:v>
                </c:pt>
                <c:pt idx="292">
                  <c:v>3.217263173112473E-2</c:v>
                </c:pt>
                <c:pt idx="293">
                  <c:v>3.2062827527264248E-2</c:v>
                </c:pt>
                <c:pt idx="294">
                  <c:v>3.1953770290776957E-2</c:v>
                </c:pt>
                <c:pt idx="295">
                  <c:v>3.1845452425384481E-2</c:v>
                </c:pt>
                <c:pt idx="296">
                  <c:v>3.1737866437460897E-2</c:v>
                </c:pt>
                <c:pt idx="297">
                  <c:v>3.1631004934304471E-2</c:v>
                </c:pt>
                <c:pt idx="298">
                  <c:v>3.1524860622444383E-2</c:v>
                </c:pt>
                <c:pt idx="299">
                  <c:v>3.1419426305981359E-2</c:v>
                </c:pt>
                <c:pt idx="300">
                  <c:v>3.1314694884961421E-2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87-468F-B642-DA85200BD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94272"/>
        <c:axId val="221894848"/>
      </c:scatterChart>
      <c:valAx>
        <c:axId val="221894272"/>
        <c:scaling>
          <c:orientation val="minMax"/>
          <c:max val="3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4848"/>
        <c:crosses val="autoZero"/>
        <c:crossBetween val="midCat"/>
      </c:valAx>
      <c:valAx>
        <c:axId val="221894848"/>
        <c:scaling>
          <c:orientation val="minMax"/>
          <c:max val="0.15000000000000002"/>
          <c:min val="0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Peak Accel (S</a:t>
                </a:r>
                <a:r>
                  <a:rPr lang="en-US" altLang="ko-KR" baseline="-25000"/>
                  <a:t>a</a:t>
                </a:r>
                <a:r>
                  <a:rPr lang="en-US" altLang="ko-KR"/>
                  <a:t>, g)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4272"/>
        <c:crosses val="autoZero"/>
        <c:crossBetween val="midCat"/>
        <c:majorUnit val="3.0000000000000006E-2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7366041666666666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X)'!$G$3:$G$303</c:f>
              <c:numCache>
                <c:formatCode>0.0000_ </c:formatCode>
                <c:ptCount val="301"/>
                <c:pt idx="0">
                  <c:v>0.154</c:v>
                </c:pt>
                <c:pt idx="1">
                  <c:v>0.24640000000000001</c:v>
                </c:pt>
                <c:pt idx="2">
                  <c:v>0.33879999999999999</c:v>
                </c:pt>
                <c:pt idx="3">
                  <c:v>0.43120000000000003</c:v>
                </c:pt>
                <c:pt idx="4">
                  <c:v>0.43119999999999997</c:v>
                </c:pt>
                <c:pt idx="5">
                  <c:v>0.43119999999999997</c:v>
                </c:pt>
                <c:pt idx="6">
                  <c:v>0.43119999999999997</c:v>
                </c:pt>
                <c:pt idx="7">
                  <c:v>0.43119999999999997</c:v>
                </c:pt>
                <c:pt idx="8">
                  <c:v>0.43119999999999997</c:v>
                </c:pt>
                <c:pt idx="9">
                  <c:v>0.43119999999999997</c:v>
                </c:pt>
                <c:pt idx="10">
                  <c:v>0.43119999999999997</c:v>
                </c:pt>
                <c:pt idx="11">
                  <c:v>0.43119999999999997</c:v>
                </c:pt>
                <c:pt idx="12">
                  <c:v>0.43119999999999997</c:v>
                </c:pt>
                <c:pt idx="13">
                  <c:v>0.43119999999999997</c:v>
                </c:pt>
                <c:pt idx="14">
                  <c:v>0.43119999999999997</c:v>
                </c:pt>
                <c:pt idx="15">
                  <c:v>0.43119999999999997</c:v>
                </c:pt>
                <c:pt idx="16">
                  <c:v>0.40424999999999989</c:v>
                </c:pt>
                <c:pt idx="17">
                  <c:v>0.380470588235294</c:v>
                </c:pt>
                <c:pt idx="18">
                  <c:v>0.35933333333333323</c:v>
                </c:pt>
                <c:pt idx="19">
                  <c:v>0.34042105263157885</c:v>
                </c:pt>
                <c:pt idx="20">
                  <c:v>0.32339999999999985</c:v>
                </c:pt>
                <c:pt idx="21">
                  <c:v>0.30799999999999988</c:v>
                </c:pt>
                <c:pt idx="22">
                  <c:v>0.29399999999999987</c:v>
                </c:pt>
                <c:pt idx="23">
                  <c:v>0.2812173913043477</c:v>
                </c:pt>
                <c:pt idx="24">
                  <c:v>0.26949999999999985</c:v>
                </c:pt>
                <c:pt idx="25">
                  <c:v>0.25871999999999989</c:v>
                </c:pt>
                <c:pt idx="26">
                  <c:v>0.24876923076923066</c:v>
                </c:pt>
                <c:pt idx="27">
                  <c:v>0.23955555555555544</c:v>
                </c:pt>
                <c:pt idx="28">
                  <c:v>0.2309999999999999</c:v>
                </c:pt>
                <c:pt idx="29">
                  <c:v>0.22303448275862059</c:v>
                </c:pt>
                <c:pt idx="30">
                  <c:v>0.21559999999999988</c:v>
                </c:pt>
                <c:pt idx="31">
                  <c:v>0.20864516129032246</c:v>
                </c:pt>
                <c:pt idx="32">
                  <c:v>0.20212499999999989</c:v>
                </c:pt>
                <c:pt idx="33">
                  <c:v>0.1959999999999999</c:v>
                </c:pt>
                <c:pt idx="34">
                  <c:v>0.19023529411764695</c:v>
                </c:pt>
                <c:pt idx="35">
                  <c:v>0.18479999999999988</c:v>
                </c:pt>
                <c:pt idx="36">
                  <c:v>0.17966666666666656</c:v>
                </c:pt>
                <c:pt idx="37">
                  <c:v>0.17481081081081071</c:v>
                </c:pt>
                <c:pt idx="38">
                  <c:v>0.17021052631578937</c:v>
                </c:pt>
                <c:pt idx="39">
                  <c:v>0.16584615384615373</c:v>
                </c:pt>
                <c:pt idx="40">
                  <c:v>0.1616999999999999</c:v>
                </c:pt>
                <c:pt idx="41">
                  <c:v>0.1577560975609755</c:v>
                </c:pt>
                <c:pt idx="42">
                  <c:v>0.15399999999999989</c:v>
                </c:pt>
                <c:pt idx="43">
                  <c:v>0.15041860465116269</c:v>
                </c:pt>
                <c:pt idx="44">
                  <c:v>0.14699999999999991</c:v>
                </c:pt>
                <c:pt idx="45">
                  <c:v>0.14373333333333324</c:v>
                </c:pt>
                <c:pt idx="46">
                  <c:v>0.14060869565217382</c:v>
                </c:pt>
                <c:pt idx="47">
                  <c:v>0.13761702127659564</c:v>
                </c:pt>
                <c:pt idx="48">
                  <c:v>0.1347499999999999</c:v>
                </c:pt>
                <c:pt idx="49">
                  <c:v>0.1319999999999999</c:v>
                </c:pt>
                <c:pt idx="50">
                  <c:v>0.12935999999999992</c:v>
                </c:pt>
                <c:pt idx="51">
                  <c:v>0.12682352941176461</c:v>
                </c:pt>
                <c:pt idx="52">
                  <c:v>0.1243846153846153</c:v>
                </c:pt>
                <c:pt idx="53">
                  <c:v>0.12203773584905653</c:v>
                </c:pt>
                <c:pt idx="54">
                  <c:v>0.11977777777777769</c:v>
                </c:pt>
                <c:pt idx="55">
                  <c:v>0.11759999999999993</c:v>
                </c:pt>
                <c:pt idx="56">
                  <c:v>0.11549999999999992</c:v>
                </c:pt>
                <c:pt idx="57">
                  <c:v>0.11347368421052624</c:v>
                </c:pt>
                <c:pt idx="58">
                  <c:v>0.11151724137931027</c:v>
                </c:pt>
                <c:pt idx="59">
                  <c:v>0.10962711864406773</c:v>
                </c:pt>
                <c:pt idx="60">
                  <c:v>0.10779999999999992</c:v>
                </c:pt>
                <c:pt idx="61">
                  <c:v>0.10603278688524582</c:v>
                </c:pt>
                <c:pt idx="62">
                  <c:v>0.10432258064516121</c:v>
                </c:pt>
                <c:pt idx="63">
                  <c:v>0.10266666666666659</c:v>
                </c:pt>
                <c:pt idx="64">
                  <c:v>0.10106249999999993</c:v>
                </c:pt>
                <c:pt idx="65">
                  <c:v>9.9507692307692228E-2</c:v>
                </c:pt>
                <c:pt idx="66">
                  <c:v>9.7999999999999921E-2</c:v>
                </c:pt>
                <c:pt idx="67">
                  <c:v>9.6537313432835753E-2</c:v>
                </c:pt>
                <c:pt idx="68">
                  <c:v>9.511764705882346E-2</c:v>
                </c:pt>
                <c:pt idx="69">
                  <c:v>9.3739130434782533E-2</c:v>
                </c:pt>
                <c:pt idx="70">
                  <c:v>9.2399999999999927E-2</c:v>
                </c:pt>
                <c:pt idx="71">
                  <c:v>9.1098591549295699E-2</c:v>
                </c:pt>
                <c:pt idx="72">
                  <c:v>8.9833333333333265E-2</c:v>
                </c:pt>
                <c:pt idx="73">
                  <c:v>8.8602739726027335E-2</c:v>
                </c:pt>
                <c:pt idx="74">
                  <c:v>8.740540540540534E-2</c:v>
                </c:pt>
                <c:pt idx="75">
                  <c:v>8.6239999999999928E-2</c:v>
                </c:pt>
                <c:pt idx="76">
                  <c:v>8.510526315789467E-2</c:v>
                </c:pt>
                <c:pt idx="77">
                  <c:v>8.3999999999999936E-2</c:v>
                </c:pt>
                <c:pt idx="78">
                  <c:v>8.2923076923076863E-2</c:v>
                </c:pt>
                <c:pt idx="79">
                  <c:v>8.1873417721518918E-2</c:v>
                </c:pt>
                <c:pt idx="80">
                  <c:v>8.0849999999999936E-2</c:v>
                </c:pt>
                <c:pt idx="81">
                  <c:v>7.9851851851851785E-2</c:v>
                </c:pt>
                <c:pt idx="82">
                  <c:v>7.8878048780487736E-2</c:v>
                </c:pt>
                <c:pt idx="83">
                  <c:v>7.7927710843373424E-2</c:v>
                </c:pt>
                <c:pt idx="84">
                  <c:v>7.6999999999999943E-2</c:v>
                </c:pt>
                <c:pt idx="85">
                  <c:v>7.6094117647058757E-2</c:v>
                </c:pt>
                <c:pt idx="86">
                  <c:v>7.5209302325581331E-2</c:v>
                </c:pt>
                <c:pt idx="87">
                  <c:v>7.4344827586206835E-2</c:v>
                </c:pt>
                <c:pt idx="88">
                  <c:v>7.349999999999994E-2</c:v>
                </c:pt>
                <c:pt idx="89">
                  <c:v>7.2674157303370721E-2</c:v>
                </c:pt>
                <c:pt idx="90">
                  <c:v>7.1866666666666607E-2</c:v>
                </c:pt>
                <c:pt idx="91">
                  <c:v>7.1076923076923024E-2</c:v>
                </c:pt>
                <c:pt idx="92">
                  <c:v>7.0304347826086896E-2</c:v>
                </c:pt>
                <c:pt idx="93">
                  <c:v>6.9548387096774134E-2</c:v>
                </c:pt>
                <c:pt idx="94">
                  <c:v>6.8808510638297821E-2</c:v>
                </c:pt>
                <c:pt idx="95">
                  <c:v>6.8084210526315733E-2</c:v>
                </c:pt>
                <c:pt idx="96">
                  <c:v>6.7374999999999949E-2</c:v>
                </c:pt>
                <c:pt idx="97">
                  <c:v>6.6680412371133965E-2</c:v>
                </c:pt>
                <c:pt idx="98">
                  <c:v>6.5999999999999948E-2</c:v>
                </c:pt>
                <c:pt idx="99">
                  <c:v>6.5333333333333271E-2</c:v>
                </c:pt>
                <c:pt idx="100">
                  <c:v>6.4679999999999946E-2</c:v>
                </c:pt>
                <c:pt idx="101">
                  <c:v>6.4039603960395985E-2</c:v>
                </c:pt>
                <c:pt idx="102">
                  <c:v>6.3411764705882293E-2</c:v>
                </c:pt>
                <c:pt idx="103">
                  <c:v>6.279611650485431E-2</c:v>
                </c:pt>
                <c:pt idx="104">
                  <c:v>6.2192307692307637E-2</c:v>
                </c:pt>
                <c:pt idx="105">
                  <c:v>6.1599999999999946E-2</c:v>
                </c:pt>
                <c:pt idx="106">
                  <c:v>6.101886792452825E-2</c:v>
                </c:pt>
                <c:pt idx="107">
                  <c:v>6.0448598130841066E-2</c:v>
                </c:pt>
                <c:pt idx="108">
                  <c:v>5.9888888888888839E-2</c:v>
                </c:pt>
                <c:pt idx="109">
                  <c:v>5.9339449541284353E-2</c:v>
                </c:pt>
                <c:pt idx="110">
                  <c:v>5.879999999999995E-2</c:v>
                </c:pt>
                <c:pt idx="111">
                  <c:v>5.8270270270270222E-2</c:v>
                </c:pt>
                <c:pt idx="112">
                  <c:v>5.7749999999999947E-2</c:v>
                </c:pt>
                <c:pt idx="113">
                  <c:v>5.7238938053097294E-2</c:v>
                </c:pt>
                <c:pt idx="114">
                  <c:v>5.6736842105263106E-2</c:v>
                </c:pt>
                <c:pt idx="115">
                  <c:v>5.6243478260869513E-2</c:v>
                </c:pt>
                <c:pt idx="116">
                  <c:v>5.575862068965512E-2</c:v>
                </c:pt>
                <c:pt idx="117">
                  <c:v>5.5282051282051235E-2</c:v>
                </c:pt>
                <c:pt idx="118">
                  <c:v>5.4813559322033849E-2</c:v>
                </c:pt>
                <c:pt idx="119">
                  <c:v>5.4352941176470541E-2</c:v>
                </c:pt>
                <c:pt idx="120">
                  <c:v>5.3899999999999955E-2</c:v>
                </c:pt>
                <c:pt idx="121">
                  <c:v>5.3454545454545407E-2</c:v>
                </c:pt>
                <c:pt idx="122">
                  <c:v>5.3016393442622906E-2</c:v>
                </c:pt>
                <c:pt idx="123">
                  <c:v>5.2585365853658486E-2</c:v>
                </c:pt>
                <c:pt idx="124">
                  <c:v>5.21612903225806E-2</c:v>
                </c:pt>
                <c:pt idx="125">
                  <c:v>5.1743999999999957E-2</c:v>
                </c:pt>
                <c:pt idx="126">
                  <c:v>5.1333333333333286E-2</c:v>
                </c:pt>
                <c:pt idx="127">
                  <c:v>5.0929133858267674E-2</c:v>
                </c:pt>
                <c:pt idx="128">
                  <c:v>5.0531249999999951E-2</c:v>
                </c:pt>
                <c:pt idx="129">
                  <c:v>5.0139534883720888E-2</c:v>
                </c:pt>
                <c:pt idx="130">
                  <c:v>4.9753846153846107E-2</c:v>
                </c:pt>
                <c:pt idx="131">
                  <c:v>4.937404580152667E-2</c:v>
                </c:pt>
                <c:pt idx="132">
                  <c:v>4.8999999999999953E-2</c:v>
                </c:pt>
                <c:pt idx="133">
                  <c:v>4.863157894736838E-2</c:v>
                </c:pt>
                <c:pt idx="134">
                  <c:v>4.826865671641787E-2</c:v>
                </c:pt>
                <c:pt idx="135">
                  <c:v>4.7911111111111064E-2</c:v>
                </c:pt>
                <c:pt idx="136">
                  <c:v>4.7558823529411723E-2</c:v>
                </c:pt>
                <c:pt idx="137">
                  <c:v>4.7211678832116744E-2</c:v>
                </c:pt>
                <c:pt idx="138">
                  <c:v>4.686956521739126E-2</c:v>
                </c:pt>
                <c:pt idx="139">
                  <c:v>4.6532374100719379E-2</c:v>
                </c:pt>
                <c:pt idx="140">
                  <c:v>4.6199999999999956E-2</c:v>
                </c:pt>
                <c:pt idx="141">
                  <c:v>4.5872340425531871E-2</c:v>
                </c:pt>
                <c:pt idx="142">
                  <c:v>4.5549295774647842E-2</c:v>
                </c:pt>
                <c:pt idx="143">
                  <c:v>4.5230769230769186E-2</c:v>
                </c:pt>
                <c:pt idx="144">
                  <c:v>4.4916666666666626E-2</c:v>
                </c:pt>
                <c:pt idx="145">
                  <c:v>4.4606896551724097E-2</c:v>
                </c:pt>
                <c:pt idx="146">
                  <c:v>4.4301369863013661E-2</c:v>
                </c:pt>
                <c:pt idx="147">
                  <c:v>4.3999999999999956E-2</c:v>
                </c:pt>
                <c:pt idx="148">
                  <c:v>4.3702702702702663E-2</c:v>
                </c:pt>
                <c:pt idx="149">
                  <c:v>4.3409395973154324E-2</c:v>
                </c:pt>
                <c:pt idx="150">
                  <c:v>4.3119999999999957E-2</c:v>
                </c:pt>
                <c:pt idx="151">
                  <c:v>4.2550765317310571E-2</c:v>
                </c:pt>
                <c:pt idx="152">
                  <c:v>4.1992728531855886E-2</c:v>
                </c:pt>
                <c:pt idx="153">
                  <c:v>4.144559784698186E-2</c:v>
                </c:pt>
                <c:pt idx="154">
                  <c:v>4.0909090909090839E-2</c:v>
                </c:pt>
                <c:pt idx="155">
                  <c:v>4.0382934443288179E-2</c:v>
                </c:pt>
                <c:pt idx="156">
                  <c:v>3.9866863905325373E-2</c:v>
                </c:pt>
                <c:pt idx="157">
                  <c:v>3.9360623149012064E-2</c:v>
                </c:pt>
                <c:pt idx="158">
                  <c:v>3.8863964108315906E-2</c:v>
                </c:pt>
                <c:pt idx="159">
                  <c:v>3.8376646493413963E-2</c:v>
                </c:pt>
                <c:pt idx="160">
                  <c:v>3.789843749999993E-2</c:v>
                </c:pt>
                <c:pt idx="161">
                  <c:v>3.7429111531190863E-2</c:v>
                </c:pt>
                <c:pt idx="162">
                  <c:v>3.6968449931412829E-2</c:v>
                </c:pt>
                <c:pt idx="163">
                  <c:v>3.6516240731679715E-2</c:v>
                </c:pt>
                <c:pt idx="164">
                  <c:v>3.6072278405710825E-2</c:v>
                </c:pt>
                <c:pt idx="165">
                  <c:v>3.5636363636363577E-2</c:v>
                </c:pt>
                <c:pt idx="166">
                  <c:v>3.5208303091885551E-2</c:v>
                </c:pt>
                <c:pt idx="167">
                  <c:v>3.4787909211517025E-2</c:v>
                </c:pt>
                <c:pt idx="168">
                  <c:v>3.437499999999994E-2</c:v>
                </c:pt>
                <c:pt idx="169">
                  <c:v>3.3969398830573101E-2</c:v>
                </c:pt>
                <c:pt idx="170">
                  <c:v>3.3570934256055306E-2</c:v>
                </c:pt>
                <c:pt idx="171">
                  <c:v>3.3179439827639212E-2</c:v>
                </c:pt>
                <c:pt idx="172">
                  <c:v>3.2794753921038339E-2</c:v>
                </c:pt>
                <c:pt idx="173">
                  <c:v>3.241671956964811E-2</c:v>
                </c:pt>
                <c:pt idx="174">
                  <c:v>3.2045184304399468E-2</c:v>
                </c:pt>
                <c:pt idx="175">
                  <c:v>3.1679999999999951E-2</c:v>
                </c:pt>
                <c:pt idx="176">
                  <c:v>3.132102272727267E-2</c:v>
                </c:pt>
                <c:pt idx="177">
                  <c:v>3.0968112611318533E-2</c:v>
                </c:pt>
                <c:pt idx="178">
                  <c:v>3.0621133695240447E-2</c:v>
                </c:pt>
                <c:pt idx="179">
                  <c:v>3.0279953809181935E-2</c:v>
                </c:pt>
                <c:pt idx="180">
                  <c:v>2.9944444444444392E-2</c:v>
                </c:pt>
                <c:pt idx="181">
                  <c:v>2.9614480632459278E-2</c:v>
                </c:pt>
                <c:pt idx="182">
                  <c:v>2.9289940828402316E-2</c:v>
                </c:pt>
                <c:pt idx="183">
                  <c:v>2.8970706799247462E-2</c:v>
                </c:pt>
                <c:pt idx="184">
                  <c:v>2.8656663516068003E-2</c:v>
                </c:pt>
                <c:pt idx="185">
                  <c:v>2.8347699050401704E-2</c:v>
                </c:pt>
                <c:pt idx="186">
                  <c:v>2.8043704474505673E-2</c:v>
                </c:pt>
                <c:pt idx="187">
                  <c:v>2.7744573765334964E-2</c:v>
                </c:pt>
                <c:pt idx="188">
                  <c:v>2.7450203712086868E-2</c:v>
                </c:pt>
                <c:pt idx="189">
                  <c:v>2.7160493827160445E-2</c:v>
                </c:pt>
                <c:pt idx="190">
                  <c:v>2.6875346260387765E-2</c:v>
                </c:pt>
                <c:pt idx="191">
                  <c:v>2.6594665716400272E-2</c:v>
                </c:pt>
                <c:pt idx="192">
                  <c:v>2.6318359374999954E-2</c:v>
                </c:pt>
                <c:pt idx="193">
                  <c:v>2.604633681441108E-2</c:v>
                </c:pt>
                <c:pt idx="194">
                  <c:v>2.5778509937294036E-2</c:v>
                </c:pt>
                <c:pt idx="195">
                  <c:v>2.551479289940824E-2</c:v>
                </c:pt>
                <c:pt idx="196">
                  <c:v>2.5255102040816282E-2</c:v>
                </c:pt>
                <c:pt idx="197">
                  <c:v>2.4999355819526354E-2</c:v>
                </c:pt>
                <c:pt idx="198">
                  <c:v>2.4747474747474706E-2</c:v>
                </c:pt>
                <c:pt idx="199">
                  <c:v>2.4499381328754281E-2</c:v>
                </c:pt>
                <c:pt idx="200">
                  <c:v>2.4254999999999964E-2</c:v>
                </c:pt>
                <c:pt idx="201">
                  <c:v>2.4014257072844703E-2</c:v>
                </c:pt>
                <c:pt idx="202">
                  <c:v>2.3777080678364839E-2</c:v>
                </c:pt>
                <c:pt idx="203">
                  <c:v>2.3543400713436368E-2</c:v>
                </c:pt>
                <c:pt idx="204">
                  <c:v>2.3313148788927322E-2</c:v>
                </c:pt>
                <c:pt idx="205">
                  <c:v>2.3086258179654956E-2</c:v>
                </c:pt>
                <c:pt idx="206">
                  <c:v>2.2862663776039207E-2</c:v>
                </c:pt>
                <c:pt idx="207">
                  <c:v>2.2642302037387103E-2</c:v>
                </c:pt>
                <c:pt idx="208">
                  <c:v>2.2425110946745565E-2</c:v>
                </c:pt>
                <c:pt idx="209">
                  <c:v>2.2211029967262663E-2</c:v>
                </c:pt>
                <c:pt idx="210">
                  <c:v>2.2000000000000013E-2</c:v>
                </c:pt>
                <c:pt idx="211">
                  <c:v>2.1791963343141457E-2</c:v>
                </c:pt>
                <c:pt idx="212">
                  <c:v>2.1586863652545411E-2</c:v>
                </c:pt>
                <c:pt idx="213">
                  <c:v>2.1384645903590582E-2</c:v>
                </c:pt>
                <c:pt idx="214">
                  <c:v>2.1185256354266775E-2</c:v>
                </c:pt>
                <c:pt idx="215">
                  <c:v>2.0988642509464611E-2</c:v>
                </c:pt>
                <c:pt idx="216">
                  <c:v>2.0794753086419791E-2</c:v>
                </c:pt>
                <c:pt idx="217">
                  <c:v>2.060353798126955E-2</c:v>
                </c:pt>
                <c:pt idx="218">
                  <c:v>2.0414948236680459E-2</c:v>
                </c:pt>
                <c:pt idx="219">
                  <c:v>2.0228936010508583E-2</c:v>
                </c:pt>
                <c:pt idx="220">
                  <c:v>2.0045454545454592E-2</c:v>
                </c:pt>
                <c:pt idx="221">
                  <c:v>1.9864458139677785E-2</c:v>
                </c:pt>
                <c:pt idx="222">
                  <c:v>1.9685902118334608E-2</c:v>
                </c:pt>
                <c:pt idx="223">
                  <c:v>1.9509742806008624E-2</c:v>
                </c:pt>
                <c:pt idx="224">
                  <c:v>1.9335937500000063E-2</c:v>
                </c:pt>
                <c:pt idx="225">
                  <c:v>1.9164444444444508E-2</c:v>
                </c:pt>
                <c:pt idx="226">
                  <c:v>1.8995222805231488E-2</c:v>
                </c:pt>
                <c:pt idx="227">
                  <c:v>1.8828232645694727E-2</c:v>
                </c:pt>
                <c:pt idx="228">
                  <c:v>1.8663434903047164E-2</c:v>
                </c:pt>
                <c:pt idx="229">
                  <c:v>1.8500791365534675E-2</c:v>
                </c:pt>
                <c:pt idx="230">
                  <c:v>1.8340264650283631E-2</c:v>
                </c:pt>
                <c:pt idx="231">
                  <c:v>1.8181818181818264E-2</c:v>
                </c:pt>
                <c:pt idx="232">
                  <c:v>1.8025416171224815E-2</c:v>
                </c:pt>
                <c:pt idx="233">
                  <c:v>1.7871023595940328E-2</c:v>
                </c:pt>
                <c:pt idx="234">
                  <c:v>1.7718606180144727E-2</c:v>
                </c:pt>
                <c:pt idx="235">
                  <c:v>1.7568130375735715E-2</c:v>
                </c:pt>
                <c:pt idx="236">
                  <c:v>1.7419563343866795E-2</c:v>
                </c:pt>
                <c:pt idx="237">
                  <c:v>1.7272872937029414E-2</c:v>
                </c:pt>
                <c:pt idx="238">
                  <c:v>1.7128027681660996E-2</c:v>
                </c:pt>
                <c:pt idx="239">
                  <c:v>1.6984996761261278E-2</c:v>
                </c:pt>
                <c:pt idx="240">
                  <c:v>1.6843750000000098E-2</c:v>
                </c:pt>
                <c:pt idx="241">
                  <c:v>1.6704257846800259E-2</c:v>
                </c:pt>
                <c:pt idx="242">
                  <c:v>1.6566491359879889E-2</c:v>
                </c:pt>
                <c:pt idx="243">
                  <c:v>1.6430422191739166E-2</c:v>
                </c:pt>
                <c:pt idx="244">
                  <c:v>1.6296022574576831E-2</c:v>
                </c:pt>
                <c:pt idx="245">
                  <c:v>1.6163265306122554E-2</c:v>
                </c:pt>
                <c:pt idx="246">
                  <c:v>1.6032123735871612E-2</c:v>
                </c:pt>
                <c:pt idx="247">
                  <c:v>1.5902571751708873E-2</c:v>
                </c:pt>
                <c:pt idx="248">
                  <c:v>1.5774583766909579E-2</c:v>
                </c:pt>
                <c:pt idx="249">
                  <c:v>1.564813470750483E-2</c:v>
                </c:pt>
                <c:pt idx="250">
                  <c:v>1.5523200000000112E-2</c:v>
                </c:pt>
                <c:pt idx="251">
                  <c:v>1.5399755559435678E-2</c:v>
                </c:pt>
                <c:pt idx="252">
                  <c:v>1.5277777777777894E-2</c:v>
                </c:pt>
                <c:pt idx="253">
                  <c:v>1.5157243512631154E-2</c:v>
                </c:pt>
                <c:pt idx="254">
                  <c:v>1.5038130076260269E-2</c:v>
                </c:pt>
                <c:pt idx="255">
                  <c:v>1.4920415224913613E-2</c:v>
                </c:pt>
                <c:pt idx="256">
                  <c:v>1.4804077148437619E-2</c:v>
                </c:pt>
                <c:pt idx="257">
                  <c:v>1.4689094460173628E-2</c:v>
                </c:pt>
                <c:pt idx="258">
                  <c:v>1.45754461871283E-2</c:v>
                </c:pt>
                <c:pt idx="259">
                  <c:v>1.4463111760409181E-2</c:v>
                </c:pt>
                <c:pt idx="260">
                  <c:v>1.4352071005917283E-2</c:v>
                </c:pt>
                <c:pt idx="261">
                  <c:v>1.4242304135288803E-2</c:v>
                </c:pt>
                <c:pt idx="262">
                  <c:v>1.4133791737078384E-2</c:v>
                </c:pt>
                <c:pt idx="263">
                  <c:v>1.4026514768176622E-2</c:v>
                </c:pt>
                <c:pt idx="264">
                  <c:v>1.3920454545454673E-2</c:v>
                </c:pt>
                <c:pt idx="265">
                  <c:v>1.3815592737629178E-2</c:v>
                </c:pt>
                <c:pt idx="266">
                  <c:v>1.371191135734085E-2</c:v>
                </c:pt>
                <c:pt idx="267">
                  <c:v>1.3609392753440351E-2</c:v>
                </c:pt>
                <c:pt idx="268">
                  <c:v>1.3508019603475292E-2</c:v>
                </c:pt>
                <c:pt idx="269">
                  <c:v>1.3407774906372348E-2</c:v>
                </c:pt>
                <c:pt idx="270">
                  <c:v>1.3308641975308774E-2</c:v>
                </c:pt>
                <c:pt idx="271">
                  <c:v>1.3210604430767686E-2</c:v>
                </c:pt>
                <c:pt idx="272">
                  <c:v>1.3113646193771759E-2</c:v>
                </c:pt>
                <c:pt idx="273">
                  <c:v>1.3017751479290074E-2</c:v>
                </c:pt>
                <c:pt idx="274">
                  <c:v>1.2922904789813124E-2</c:v>
                </c:pt>
                <c:pt idx="275">
                  <c:v>1.2829090909091043E-2</c:v>
                </c:pt>
                <c:pt idx="276">
                  <c:v>1.2736294896030381E-2</c:v>
                </c:pt>
                <c:pt idx="277">
                  <c:v>1.2644502078744808E-2</c:v>
                </c:pt>
                <c:pt idx="278">
                  <c:v>1.2553698048755375E-2</c:v>
                </c:pt>
                <c:pt idx="279">
                  <c:v>1.2463868655336012E-2</c:v>
                </c:pt>
                <c:pt idx="280">
                  <c:v>1.2375000000000136E-2</c:v>
                </c:pt>
                <c:pt idx="281">
                  <c:v>1.2287078431124362E-2</c:v>
                </c:pt>
                <c:pt idx="282">
                  <c:v>1.2200090538705433E-2</c:v>
                </c:pt>
                <c:pt idx="283">
                  <c:v>1.2114023149246599E-2</c:v>
                </c:pt>
                <c:pt idx="284">
                  <c:v>1.2028863320769826E-2</c:v>
                </c:pt>
                <c:pt idx="285">
                  <c:v>1.1944598337950276E-2</c:v>
                </c:pt>
                <c:pt idx="286">
                  <c:v>1.1861215707369692E-2</c:v>
                </c:pt>
                <c:pt idx="287">
                  <c:v>1.1778703152885327E-2</c:v>
                </c:pt>
                <c:pt idx="288">
                  <c:v>1.169704861111125E-2</c:v>
                </c:pt>
                <c:pt idx="289">
                  <c:v>1.1616240227008915E-2</c:v>
                </c:pt>
                <c:pt idx="290">
                  <c:v>1.1536266349583968E-2</c:v>
                </c:pt>
                <c:pt idx="291">
                  <c:v>1.1457115527686398E-2</c:v>
                </c:pt>
                <c:pt idx="292">
                  <c:v>1.1378776505911192E-2</c:v>
                </c:pt>
                <c:pt idx="293">
                  <c:v>1.130123822059677E-2</c:v>
                </c:pt>
                <c:pt idx="294">
                  <c:v>1.1224489795918509E-2</c:v>
                </c:pt>
                <c:pt idx="295">
                  <c:v>1.1148520540074832E-2</c:v>
                </c:pt>
                <c:pt idx="296">
                  <c:v>1.1073319941563327E-2</c:v>
                </c:pt>
                <c:pt idx="297">
                  <c:v>1.0998877665544474E-2</c:v>
                </c:pt>
                <c:pt idx="298">
                  <c:v>1.092518355029067E-2</c:v>
                </c:pt>
                <c:pt idx="299">
                  <c:v>1.085222760371822E-2</c:v>
                </c:pt>
                <c:pt idx="300">
                  <c:v>1.0780000000000142E-2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B35-40DE-B373-73B98B0ED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96704"/>
        <c:axId val="221897280"/>
      </c:scatterChart>
      <c:valAx>
        <c:axId val="221896704"/>
        <c:scaling>
          <c:orientation val="minMax"/>
          <c:max val="4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7280"/>
        <c:crosses val="autoZero"/>
        <c:crossBetween val="midCat"/>
      </c:valAx>
      <c:valAx>
        <c:axId val="221897280"/>
        <c:scaling>
          <c:orientation val="minMax"/>
          <c:max val="0.60000000000000009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Peak Accel (S</a:t>
                </a:r>
                <a:r>
                  <a:rPr lang="en-US" altLang="ko-KR" baseline="-25000"/>
                  <a:t>a</a:t>
                </a:r>
                <a:r>
                  <a:rPr lang="en-US" altLang="ko-KR"/>
                  <a:t>, g)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6704"/>
        <c:crosses val="autoZero"/>
        <c:crossBetween val="midCat"/>
        <c:majorUnit val="0.1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7366041666666666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X)'!$H$3:$H$303</c:f>
              <c:numCache>
                <c:formatCode>0.0000_ </c:formatCode>
                <c:ptCount val="301"/>
                <c:pt idx="0">
                  <c:v>0</c:v>
                </c:pt>
                <c:pt idx="1">
                  <c:v>4.3164100936208217E-3</c:v>
                </c:pt>
                <c:pt idx="2">
                  <c:v>1.187012775745726E-2</c:v>
                </c:pt>
                <c:pt idx="3">
                  <c:v>2.2661152991509309E-2</c:v>
                </c:pt>
                <c:pt idx="4">
                  <c:v>3.0214870655345744E-2</c:v>
                </c:pt>
                <c:pt idx="5">
                  <c:v>3.7768588319182179E-2</c:v>
                </c:pt>
                <c:pt idx="6">
                  <c:v>4.5322305983018618E-2</c:v>
                </c:pt>
                <c:pt idx="7">
                  <c:v>5.2876023646855064E-2</c:v>
                </c:pt>
                <c:pt idx="8">
                  <c:v>6.0429741310691489E-2</c:v>
                </c:pt>
                <c:pt idx="9">
                  <c:v>6.7983458974527913E-2</c:v>
                </c:pt>
                <c:pt idx="10">
                  <c:v>7.5537176638364359E-2</c:v>
                </c:pt>
                <c:pt idx="11">
                  <c:v>8.3090894302200791E-2</c:v>
                </c:pt>
                <c:pt idx="12">
                  <c:v>9.0644611966037222E-2</c:v>
                </c:pt>
                <c:pt idx="13">
                  <c:v>9.819832962987364E-2</c:v>
                </c:pt>
                <c:pt idx="14">
                  <c:v>0.10575204729371009</c:v>
                </c:pt>
                <c:pt idx="15">
                  <c:v>0.11330576495754652</c:v>
                </c:pt>
                <c:pt idx="16">
                  <c:v>0.11330576495754652</c:v>
                </c:pt>
                <c:pt idx="17">
                  <c:v>0.11330576495754652</c:v>
                </c:pt>
                <c:pt idx="18">
                  <c:v>0.11330576495754652</c:v>
                </c:pt>
                <c:pt idx="19">
                  <c:v>0.11330576495754653</c:v>
                </c:pt>
                <c:pt idx="20">
                  <c:v>0.1133057649575465</c:v>
                </c:pt>
                <c:pt idx="21">
                  <c:v>0.11330576495754653</c:v>
                </c:pt>
                <c:pt idx="22">
                  <c:v>0.11330576495754653</c:v>
                </c:pt>
                <c:pt idx="23">
                  <c:v>0.11330576495754653</c:v>
                </c:pt>
                <c:pt idx="24">
                  <c:v>0.1133057649575465</c:v>
                </c:pt>
                <c:pt idx="25">
                  <c:v>0.11330576495754653</c:v>
                </c:pt>
                <c:pt idx="26">
                  <c:v>0.11330576495754652</c:v>
                </c:pt>
                <c:pt idx="27">
                  <c:v>0.11330576495754652</c:v>
                </c:pt>
                <c:pt idx="28">
                  <c:v>0.11330576495754652</c:v>
                </c:pt>
                <c:pt idx="29">
                  <c:v>0.11330576495754652</c:v>
                </c:pt>
                <c:pt idx="30">
                  <c:v>0.11330576495754652</c:v>
                </c:pt>
                <c:pt idx="31">
                  <c:v>0.11330576495754652</c:v>
                </c:pt>
                <c:pt idx="32">
                  <c:v>0.11330576495754652</c:v>
                </c:pt>
                <c:pt idx="33">
                  <c:v>0.11330576495754653</c:v>
                </c:pt>
                <c:pt idx="34">
                  <c:v>0.11330576495754652</c:v>
                </c:pt>
                <c:pt idx="35">
                  <c:v>0.11330576495754652</c:v>
                </c:pt>
                <c:pt idx="36">
                  <c:v>0.11330576495754652</c:v>
                </c:pt>
                <c:pt idx="37">
                  <c:v>0.11330576495754653</c:v>
                </c:pt>
                <c:pt idx="38">
                  <c:v>0.11330576495754652</c:v>
                </c:pt>
                <c:pt idx="39">
                  <c:v>0.11330576495754652</c:v>
                </c:pt>
                <c:pt idx="40">
                  <c:v>0.11330576495754652</c:v>
                </c:pt>
                <c:pt idx="41">
                  <c:v>0.11330576495754653</c:v>
                </c:pt>
                <c:pt idx="42">
                  <c:v>0.11330576495754652</c:v>
                </c:pt>
                <c:pt idx="43">
                  <c:v>0.11330576495754652</c:v>
                </c:pt>
                <c:pt idx="44">
                  <c:v>0.11330576495754652</c:v>
                </c:pt>
                <c:pt idx="45">
                  <c:v>0.11330576495754653</c:v>
                </c:pt>
                <c:pt idx="46">
                  <c:v>0.11330576495754653</c:v>
                </c:pt>
                <c:pt idx="47">
                  <c:v>0.11330576495754652</c:v>
                </c:pt>
                <c:pt idx="48">
                  <c:v>0.1133057649575465</c:v>
                </c:pt>
                <c:pt idx="49">
                  <c:v>0.11330576495754652</c:v>
                </c:pt>
                <c:pt idx="50">
                  <c:v>0.1133057649575465</c:v>
                </c:pt>
                <c:pt idx="51">
                  <c:v>0.11330576495754652</c:v>
                </c:pt>
                <c:pt idx="52">
                  <c:v>0.11330576495754652</c:v>
                </c:pt>
                <c:pt idx="53">
                  <c:v>0.11330576495754653</c:v>
                </c:pt>
                <c:pt idx="54">
                  <c:v>0.11330576495754653</c:v>
                </c:pt>
                <c:pt idx="55">
                  <c:v>0.11330576495754653</c:v>
                </c:pt>
                <c:pt idx="56">
                  <c:v>0.11330576495754652</c:v>
                </c:pt>
                <c:pt idx="57">
                  <c:v>0.11330576495754653</c:v>
                </c:pt>
                <c:pt idx="58">
                  <c:v>0.11330576495754653</c:v>
                </c:pt>
                <c:pt idx="59">
                  <c:v>0.11330576495754652</c:v>
                </c:pt>
                <c:pt idx="60">
                  <c:v>0.11330576495754652</c:v>
                </c:pt>
                <c:pt idx="61">
                  <c:v>0.1133057649575465</c:v>
                </c:pt>
                <c:pt idx="62">
                  <c:v>0.11330576495754652</c:v>
                </c:pt>
                <c:pt idx="63">
                  <c:v>0.1133057649575465</c:v>
                </c:pt>
                <c:pt idx="64">
                  <c:v>0.11330576495754653</c:v>
                </c:pt>
                <c:pt idx="65">
                  <c:v>0.11330576495754652</c:v>
                </c:pt>
                <c:pt idx="66">
                  <c:v>0.11330576495754652</c:v>
                </c:pt>
                <c:pt idx="67">
                  <c:v>0.11330576495754652</c:v>
                </c:pt>
                <c:pt idx="68">
                  <c:v>0.11330576495754652</c:v>
                </c:pt>
                <c:pt idx="69">
                  <c:v>0.11330576495754652</c:v>
                </c:pt>
                <c:pt idx="70">
                  <c:v>0.11330576495754652</c:v>
                </c:pt>
                <c:pt idx="71">
                  <c:v>0.11330576495754652</c:v>
                </c:pt>
                <c:pt idx="72">
                  <c:v>0.11330576495754653</c:v>
                </c:pt>
                <c:pt idx="73">
                  <c:v>0.11330576495754653</c:v>
                </c:pt>
                <c:pt idx="74">
                  <c:v>0.11330576495754653</c:v>
                </c:pt>
                <c:pt idx="75">
                  <c:v>0.11330576495754652</c:v>
                </c:pt>
                <c:pt idx="76">
                  <c:v>0.11330576495754652</c:v>
                </c:pt>
                <c:pt idx="77">
                  <c:v>0.11330576495754653</c:v>
                </c:pt>
                <c:pt idx="78">
                  <c:v>0.11330576495754652</c:v>
                </c:pt>
                <c:pt idx="79">
                  <c:v>0.11330576495754652</c:v>
                </c:pt>
                <c:pt idx="80">
                  <c:v>0.11330576495754653</c:v>
                </c:pt>
                <c:pt idx="81">
                  <c:v>0.11330576495754653</c:v>
                </c:pt>
                <c:pt idx="82">
                  <c:v>0.11330576495754652</c:v>
                </c:pt>
                <c:pt idx="83">
                  <c:v>0.11330576495754652</c:v>
                </c:pt>
                <c:pt idx="84">
                  <c:v>0.11330576495754652</c:v>
                </c:pt>
                <c:pt idx="85">
                  <c:v>0.11330576495754652</c:v>
                </c:pt>
                <c:pt idx="86">
                  <c:v>0.11330576495754652</c:v>
                </c:pt>
                <c:pt idx="87">
                  <c:v>0.11330576495754652</c:v>
                </c:pt>
                <c:pt idx="88">
                  <c:v>0.11330576495754652</c:v>
                </c:pt>
                <c:pt idx="89">
                  <c:v>0.11330576495754653</c:v>
                </c:pt>
                <c:pt idx="90">
                  <c:v>0.11330576495754652</c:v>
                </c:pt>
                <c:pt idx="91">
                  <c:v>0.11330576495754653</c:v>
                </c:pt>
                <c:pt idx="92">
                  <c:v>0.11330576495754653</c:v>
                </c:pt>
                <c:pt idx="93">
                  <c:v>0.11330576495754652</c:v>
                </c:pt>
                <c:pt idx="94">
                  <c:v>0.11330576495754653</c:v>
                </c:pt>
                <c:pt idx="95">
                  <c:v>0.11330576495754652</c:v>
                </c:pt>
                <c:pt idx="96">
                  <c:v>0.11330576495754653</c:v>
                </c:pt>
                <c:pt idx="97">
                  <c:v>0.11330576495754653</c:v>
                </c:pt>
                <c:pt idx="98">
                  <c:v>0.11330576495754652</c:v>
                </c:pt>
                <c:pt idx="99">
                  <c:v>0.1133057649575465</c:v>
                </c:pt>
                <c:pt idx="100">
                  <c:v>0.11330576495754653</c:v>
                </c:pt>
                <c:pt idx="101">
                  <c:v>0.11330576495754652</c:v>
                </c:pt>
                <c:pt idx="102">
                  <c:v>0.11330576495754652</c:v>
                </c:pt>
                <c:pt idx="103">
                  <c:v>0.11330576495754652</c:v>
                </c:pt>
                <c:pt idx="104">
                  <c:v>0.11330576495754652</c:v>
                </c:pt>
                <c:pt idx="105">
                  <c:v>0.11330576495754652</c:v>
                </c:pt>
                <c:pt idx="106">
                  <c:v>0.11330576495754656</c:v>
                </c:pt>
                <c:pt idx="107">
                  <c:v>0.11330576495754652</c:v>
                </c:pt>
                <c:pt idx="108">
                  <c:v>0.11330576495754653</c:v>
                </c:pt>
                <c:pt idx="109">
                  <c:v>0.11330576495754652</c:v>
                </c:pt>
                <c:pt idx="110">
                  <c:v>0.11330576495754653</c:v>
                </c:pt>
                <c:pt idx="111">
                  <c:v>0.11330576495754653</c:v>
                </c:pt>
                <c:pt idx="112">
                  <c:v>0.11330576495754652</c:v>
                </c:pt>
                <c:pt idx="113">
                  <c:v>0.11330576495754652</c:v>
                </c:pt>
                <c:pt idx="114">
                  <c:v>0.11330576495754652</c:v>
                </c:pt>
                <c:pt idx="115">
                  <c:v>0.1133057649575465</c:v>
                </c:pt>
                <c:pt idx="116">
                  <c:v>0.11330576495754652</c:v>
                </c:pt>
                <c:pt idx="117">
                  <c:v>0.11330576495754656</c:v>
                </c:pt>
                <c:pt idx="118">
                  <c:v>0.11330576495754652</c:v>
                </c:pt>
                <c:pt idx="119">
                  <c:v>0.11330576495754652</c:v>
                </c:pt>
                <c:pt idx="120">
                  <c:v>0.11330576495754652</c:v>
                </c:pt>
                <c:pt idx="121">
                  <c:v>0.11330576495754652</c:v>
                </c:pt>
                <c:pt idx="122">
                  <c:v>0.11330576495754656</c:v>
                </c:pt>
                <c:pt idx="123">
                  <c:v>0.1133057649575465</c:v>
                </c:pt>
                <c:pt idx="124">
                  <c:v>0.11330576495754653</c:v>
                </c:pt>
                <c:pt idx="125">
                  <c:v>0.11330576495754653</c:v>
                </c:pt>
                <c:pt idx="126">
                  <c:v>0.11330576495754652</c:v>
                </c:pt>
                <c:pt idx="127">
                  <c:v>0.11330576495754652</c:v>
                </c:pt>
                <c:pt idx="128">
                  <c:v>0.11330576495754652</c:v>
                </c:pt>
                <c:pt idx="129">
                  <c:v>0.11330576495754652</c:v>
                </c:pt>
                <c:pt idx="130">
                  <c:v>0.11330576495754652</c:v>
                </c:pt>
                <c:pt idx="131">
                  <c:v>0.11330576495754653</c:v>
                </c:pt>
                <c:pt idx="132">
                  <c:v>0.11330576495754652</c:v>
                </c:pt>
                <c:pt idx="133">
                  <c:v>0.11330576495754653</c:v>
                </c:pt>
                <c:pt idx="134">
                  <c:v>0.11330576495754652</c:v>
                </c:pt>
                <c:pt idx="135">
                  <c:v>0.1133057649575465</c:v>
                </c:pt>
                <c:pt idx="136">
                  <c:v>0.11330576495754653</c:v>
                </c:pt>
                <c:pt idx="137">
                  <c:v>0.1133057649575465</c:v>
                </c:pt>
                <c:pt idx="138">
                  <c:v>0.11330576495754652</c:v>
                </c:pt>
                <c:pt idx="139">
                  <c:v>0.11330576495754652</c:v>
                </c:pt>
                <c:pt idx="140">
                  <c:v>0.1133057649575465</c:v>
                </c:pt>
                <c:pt idx="141">
                  <c:v>0.11330576495754652</c:v>
                </c:pt>
                <c:pt idx="142">
                  <c:v>0.11330576495754652</c:v>
                </c:pt>
                <c:pt idx="143">
                  <c:v>0.11330576495754652</c:v>
                </c:pt>
                <c:pt idx="144">
                  <c:v>0.11330576495754652</c:v>
                </c:pt>
                <c:pt idx="145">
                  <c:v>0.11330576495754652</c:v>
                </c:pt>
                <c:pt idx="146">
                  <c:v>0.11330576495754652</c:v>
                </c:pt>
                <c:pt idx="147">
                  <c:v>0.11330576495754652</c:v>
                </c:pt>
                <c:pt idx="148">
                  <c:v>0.11330576495754652</c:v>
                </c:pt>
                <c:pt idx="149">
                  <c:v>0.11330576495754653</c:v>
                </c:pt>
                <c:pt idx="150">
                  <c:v>0.11330576495754652</c:v>
                </c:pt>
                <c:pt idx="151">
                  <c:v>0.11255539565319181</c:v>
                </c:pt>
                <c:pt idx="152">
                  <c:v>0.11181489962915768</c:v>
                </c:pt>
                <c:pt idx="153">
                  <c:v>0.11108408329171221</c:v>
                </c:pt>
                <c:pt idx="154">
                  <c:v>0.11036275807553224</c:v>
                </c:pt>
                <c:pt idx="155">
                  <c:v>0.10965074028149659</c:v>
                </c:pt>
                <c:pt idx="156">
                  <c:v>0.10894785092071774</c:v>
                </c:pt>
                <c:pt idx="157">
                  <c:v>0.10825391556453483</c:v>
                </c:pt>
                <c:pt idx="158">
                  <c:v>0.10756876420020232</c:v>
                </c:pt>
                <c:pt idx="159">
                  <c:v>0.10689223109202493</c:v>
                </c:pt>
                <c:pt idx="160">
                  <c:v>0.10622415464769978</c:v>
                </c:pt>
                <c:pt idx="161">
                  <c:v>0.10556437728963955</c:v>
                </c:pt>
                <c:pt idx="162">
                  <c:v>0.10491274533106151</c:v>
                </c:pt>
                <c:pt idx="163">
                  <c:v>0.10426910885663782</c:v>
                </c:pt>
                <c:pt idx="164">
                  <c:v>0.10363332160751199</c:v>
                </c:pt>
                <c:pt idx="165">
                  <c:v>0.10300524087049677</c:v>
                </c:pt>
                <c:pt idx="166">
                  <c:v>0.10238472737127688</c:v>
                </c:pt>
                <c:pt idx="167">
                  <c:v>0.1017716451714489</c:v>
                </c:pt>
                <c:pt idx="168">
                  <c:v>0.10116586156923789</c:v>
                </c:pt>
                <c:pt idx="169">
                  <c:v>0.10056724700373942</c:v>
                </c:pt>
                <c:pt idx="170">
                  <c:v>9.9975674962540978E-2</c:v>
                </c:pt>
                <c:pt idx="171">
                  <c:v>9.9391021892584586E-2</c:v>
                </c:pt>
                <c:pt idx="172">
                  <c:v>9.881316711413933E-2</c:v>
                </c:pt>
                <c:pt idx="173">
                  <c:v>9.8241992737757036E-2</c:v>
                </c:pt>
                <c:pt idx="174">
                  <c:v>9.7677383584091754E-2</c:v>
                </c:pt>
                <c:pt idx="175">
                  <c:v>9.7119227106468378E-2</c:v>
                </c:pt>
                <c:pt idx="176">
                  <c:v>9.65674133160907E-2</c:v>
                </c:pt>
                <c:pt idx="177">
                  <c:v>9.602183470978512E-2</c:v>
                </c:pt>
                <c:pt idx="178">
                  <c:v>9.548238620017957E-2</c:v>
                </c:pt>
                <c:pt idx="179">
                  <c:v>9.4948965048223297E-2</c:v>
                </c:pt>
                <c:pt idx="180">
                  <c:v>9.4421470797955362E-2</c:v>
                </c:pt>
                <c:pt idx="181">
                  <c:v>9.3899805213436272E-2</c:v>
                </c:pt>
                <c:pt idx="182">
                  <c:v>9.3383872217758068E-2</c:v>
                </c:pt>
                <c:pt idx="183">
                  <c:v>9.2873577834054449E-2</c:v>
                </c:pt>
                <c:pt idx="184">
                  <c:v>9.2368830128434595E-2</c:v>
                </c:pt>
                <c:pt idx="185">
                  <c:v>9.1869539154767393E-2</c:v>
                </c:pt>
                <c:pt idx="186">
                  <c:v>9.1375616901247125E-2</c:v>
                </c:pt>
                <c:pt idx="187">
                  <c:v>9.0886977238673616E-2</c:v>
                </c:pt>
                <c:pt idx="188">
                  <c:v>9.0403535870382787E-2</c:v>
                </c:pt>
                <c:pt idx="189">
                  <c:v>8.9925210283767015E-2</c:v>
                </c:pt>
                <c:pt idx="190">
                  <c:v>8.9451919703326124E-2</c:v>
                </c:pt>
                <c:pt idx="191">
                  <c:v>8.8983585045193547E-2</c:v>
                </c:pt>
                <c:pt idx="192">
                  <c:v>8.8520128873083165E-2</c:v>
                </c:pt>
                <c:pt idx="193">
                  <c:v>8.8061475355606031E-2</c:v>
                </c:pt>
                <c:pt idx="194">
                  <c:v>8.760755022490703E-2</c:v>
                </c:pt>
                <c:pt idx="195">
                  <c:v>8.7158280736574195E-2</c:v>
                </c:pt>
                <c:pt idx="196">
                  <c:v>8.6713595630775339E-2</c:v>
                </c:pt>
                <c:pt idx="197">
                  <c:v>8.6273425094578499E-2</c:v>
                </c:pt>
                <c:pt idx="198">
                  <c:v>8.5837700725413968E-2</c:v>
                </c:pt>
                <c:pt idx="199">
                  <c:v>8.540635549563802E-2</c:v>
                </c:pt>
                <c:pt idx="200">
                  <c:v>8.4979323718159847E-2</c:v>
                </c:pt>
                <c:pt idx="201">
                  <c:v>8.4556541013094372E-2</c:v>
                </c:pt>
                <c:pt idx="202">
                  <c:v>8.4137944275405788E-2</c:v>
                </c:pt>
                <c:pt idx="203">
                  <c:v>8.3723471643507283E-2</c:v>
                </c:pt>
                <c:pt idx="204">
                  <c:v>8.3313062468784199E-2</c:v>
                </c:pt>
                <c:pt idx="205">
                  <c:v>8.2906657286009641E-2</c:v>
                </c:pt>
                <c:pt idx="206">
                  <c:v>8.2504197784621258E-2</c:v>
                </c:pt>
                <c:pt idx="207">
                  <c:v>8.2105626780830818E-2</c:v>
                </c:pt>
                <c:pt idx="208">
                  <c:v>8.1710888190538358E-2</c:v>
                </c:pt>
                <c:pt idx="209">
                  <c:v>8.1319927003023845E-2</c:v>
                </c:pt>
                <c:pt idx="210">
                  <c:v>8.0932689255390405E-2</c:v>
                </c:pt>
                <c:pt idx="211">
                  <c:v>8.0549122007734536E-2</c:v>
                </c:pt>
                <c:pt idx="212">
                  <c:v>8.0169173319018822E-2</c:v>
                </c:pt>
                <c:pt idx="213">
                  <c:v>7.979279222362437E-2</c:v>
                </c:pt>
                <c:pt idx="214">
                  <c:v>7.9419928708560697E-2</c:v>
                </c:pt>
                <c:pt idx="215">
                  <c:v>7.9050533691311611E-2</c:v>
                </c:pt>
                <c:pt idx="216">
                  <c:v>7.8684558998296281E-2</c:v>
                </c:pt>
                <c:pt idx="217">
                  <c:v>7.832195734392626E-2</c:v>
                </c:pt>
                <c:pt idx="218">
                  <c:v>7.7962682310238521E-2</c:v>
                </c:pt>
                <c:pt idx="219">
                  <c:v>7.7606688327086767E-2</c:v>
                </c:pt>
                <c:pt idx="220">
                  <c:v>7.7253930652872727E-2</c:v>
                </c:pt>
                <c:pt idx="221">
                  <c:v>7.6904365355800919E-2</c:v>
                </c:pt>
                <c:pt idx="222">
                  <c:v>7.655794929563968E-2</c:v>
                </c:pt>
                <c:pt idx="223">
                  <c:v>7.6214640105973105E-2</c:v>
                </c:pt>
                <c:pt idx="224">
                  <c:v>7.5874396176928607E-2</c:v>
                </c:pt>
                <c:pt idx="225">
                  <c:v>7.5537176638364484E-2</c:v>
                </c:pt>
                <c:pt idx="226">
                  <c:v>7.520294134350447E-2</c:v>
                </c:pt>
                <c:pt idx="227">
                  <c:v>7.4871650853004457E-2</c:v>
                </c:pt>
                <c:pt idx="228">
                  <c:v>7.4543266419438647E-2</c:v>
                </c:pt>
                <c:pt idx="229">
                  <c:v>7.4217749972192215E-2</c:v>
                </c:pt>
                <c:pt idx="230">
                  <c:v>7.3895064102747904E-2</c:v>
                </c:pt>
                <c:pt idx="231">
                  <c:v>7.3575172050355062E-2</c:v>
                </c:pt>
                <c:pt idx="232">
                  <c:v>7.3258037688069072E-2</c:v>
                </c:pt>
                <c:pt idx="233">
                  <c:v>7.2943625509150289E-2</c:v>
                </c:pt>
                <c:pt idx="234">
                  <c:v>7.2631900613812056E-2</c:v>
                </c:pt>
                <c:pt idx="235">
                  <c:v>7.2322828696306476E-2</c:v>
                </c:pt>
                <c:pt idx="236">
                  <c:v>7.2016376032339097E-2</c:v>
                </c:pt>
                <c:pt idx="237">
                  <c:v>7.1712509466801799E-2</c:v>
                </c:pt>
                <c:pt idx="238">
                  <c:v>7.1411196401815244E-2</c:v>
                </c:pt>
                <c:pt idx="239">
                  <c:v>7.1112404785071248E-2</c:v>
                </c:pt>
                <c:pt idx="240">
                  <c:v>7.0816103098466796E-2</c:v>
                </c:pt>
                <c:pt idx="241">
                  <c:v>7.0522260347020888E-2</c:v>
                </c:pt>
                <c:pt idx="242">
                  <c:v>7.0230846048066245E-2</c:v>
                </c:pt>
                <c:pt idx="243">
                  <c:v>6.9941830220707962E-2</c:v>
                </c:pt>
                <c:pt idx="244">
                  <c:v>6.9655183375541121E-2</c:v>
                </c:pt>
                <c:pt idx="245">
                  <c:v>6.9370876504620552E-2</c:v>
                </c:pt>
                <c:pt idx="246">
                  <c:v>6.9088881071674949E-2</c:v>
                </c:pt>
                <c:pt idx="247">
                  <c:v>6.8809169002558859E-2</c:v>
                </c:pt>
                <c:pt idx="248">
                  <c:v>6.8531712675935635E-2</c:v>
                </c:pt>
                <c:pt idx="249">
                  <c:v>6.8256484914184901E-2</c:v>
                </c:pt>
                <c:pt idx="250">
                  <c:v>6.7983458974528163E-2</c:v>
                </c:pt>
                <c:pt idx="251">
                  <c:v>6.7712608540366703E-2</c:v>
                </c:pt>
                <c:pt idx="252">
                  <c:v>6.7443907712825574E-2</c:v>
                </c:pt>
                <c:pt idx="253">
                  <c:v>6.7177331002498203E-2</c:v>
                </c:pt>
                <c:pt idx="254">
                  <c:v>6.6912853321386009E-2</c:v>
                </c:pt>
                <c:pt idx="255">
                  <c:v>6.6650449975027629E-2</c:v>
                </c:pt>
                <c:pt idx="256">
                  <c:v>6.6390096654812686E-2</c:v>
                </c:pt>
                <c:pt idx="257">
                  <c:v>6.6131769430474899E-2</c:v>
                </c:pt>
                <c:pt idx="258">
                  <c:v>6.5875444742759887E-2</c:v>
                </c:pt>
                <c:pt idx="259">
                  <c:v>6.5621099396262747E-2</c:v>
                </c:pt>
                <c:pt idx="260">
                  <c:v>6.5368710552430986E-2</c:v>
                </c:pt>
                <c:pt idx="261">
                  <c:v>6.5118255722728183E-2</c:v>
                </c:pt>
                <c:pt idx="262">
                  <c:v>6.4869712761954398E-2</c:v>
                </c:pt>
                <c:pt idx="263">
                  <c:v>6.462305986171886E-2</c:v>
                </c:pt>
                <c:pt idx="264">
                  <c:v>6.4378275544060837E-2</c:v>
                </c:pt>
                <c:pt idx="265">
                  <c:v>6.4135338655215313E-2</c:v>
                </c:pt>
                <c:pt idx="266">
                  <c:v>6.3894228359519037E-2</c:v>
                </c:pt>
                <c:pt idx="267">
                  <c:v>6.3654924133453403E-2</c:v>
                </c:pt>
                <c:pt idx="268">
                  <c:v>6.3417405759821119E-2</c:v>
                </c:pt>
                <c:pt idx="269">
                  <c:v>6.3181653322052292E-2</c:v>
                </c:pt>
                <c:pt idx="270">
                  <c:v>6.2947647198637283E-2</c:v>
                </c:pt>
                <c:pt idx="271">
                  <c:v>6.2715368057682894E-2</c:v>
                </c:pt>
                <c:pt idx="272">
                  <c:v>6.2484796851588476E-2</c:v>
                </c:pt>
                <c:pt idx="273">
                  <c:v>6.2255914811839085E-2</c:v>
                </c:pt>
                <c:pt idx="274">
                  <c:v>6.2028703443912668E-2</c:v>
                </c:pt>
                <c:pt idx="275">
                  <c:v>6.1803144522298431E-2</c:v>
                </c:pt>
                <c:pt idx="276">
                  <c:v>6.1579220085623443E-2</c:v>
                </c:pt>
                <c:pt idx="277">
                  <c:v>6.1356912431884722E-2</c:v>
                </c:pt>
                <c:pt idx="278">
                  <c:v>6.1136204113784426E-2</c:v>
                </c:pt>
                <c:pt idx="279">
                  <c:v>6.0917077934165141E-2</c:v>
                </c:pt>
                <c:pt idx="280">
                  <c:v>6.0699516941543123E-2</c:v>
                </c:pt>
                <c:pt idx="281">
                  <c:v>6.0483504425736911E-2</c:v>
                </c:pt>
                <c:pt idx="282">
                  <c:v>6.0269023913588918E-2</c:v>
                </c:pt>
                <c:pt idx="283">
                  <c:v>6.0056059164777645E-2</c:v>
                </c:pt>
                <c:pt idx="284">
                  <c:v>5.9844594167718583E-2</c:v>
                </c:pt>
                <c:pt idx="285">
                  <c:v>5.963461313555115E-2</c:v>
                </c:pt>
                <c:pt idx="286">
                  <c:v>5.9426100502210068E-2</c:v>
                </c:pt>
                <c:pt idx="287">
                  <c:v>5.9219040918578686E-2</c:v>
                </c:pt>
                <c:pt idx="288">
                  <c:v>5.9013419248722505E-2</c:v>
                </c:pt>
                <c:pt idx="289">
                  <c:v>5.880922056620097E-2</c:v>
                </c:pt>
                <c:pt idx="290">
                  <c:v>5.8606430150455455E-2</c:v>
                </c:pt>
                <c:pt idx="291">
                  <c:v>5.8405033483271772E-2</c:v>
                </c:pt>
                <c:pt idx="292">
                  <c:v>5.8205016245315357E-2</c:v>
                </c:pt>
                <c:pt idx="293">
                  <c:v>5.8006364312737493E-2</c:v>
                </c:pt>
                <c:pt idx="294">
                  <c:v>5.7809063753850642E-2</c:v>
                </c:pt>
                <c:pt idx="295">
                  <c:v>5.761310082587149E-2</c:v>
                </c:pt>
                <c:pt idx="296">
                  <c:v>5.7418461971730034E-2</c:v>
                </c:pt>
                <c:pt idx="297">
                  <c:v>5.7225133816943073E-2</c:v>
                </c:pt>
                <c:pt idx="298">
                  <c:v>5.7033103166550643E-2</c:v>
                </c:pt>
                <c:pt idx="299">
                  <c:v>5.6842357002114013E-2</c:v>
                </c:pt>
                <c:pt idx="300">
                  <c:v>5.665288247877364E-2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2B-4BF2-B357-503549D51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99008"/>
        <c:axId val="221899584"/>
      </c:scatterChart>
      <c:valAx>
        <c:axId val="221899008"/>
        <c:scaling>
          <c:orientation val="minMax"/>
          <c:max val="3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9584"/>
        <c:crosses val="autoZero"/>
        <c:crossBetween val="midCat"/>
      </c:valAx>
      <c:valAx>
        <c:axId val="221899584"/>
        <c:scaling>
          <c:orientation val="minMax"/>
          <c:max val="0.15000000000000002"/>
          <c:min val="0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Peak Accel (S</a:t>
                </a:r>
                <a:r>
                  <a:rPr lang="en-US" altLang="ko-KR" baseline="-25000"/>
                  <a:t>a</a:t>
                </a:r>
                <a:r>
                  <a:rPr lang="en-US" altLang="ko-KR"/>
                  <a:t>, g)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899008"/>
        <c:crosses val="autoZero"/>
        <c:crossBetween val="midCat"/>
        <c:majorUnit val="3.0000000000000006E-2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Acceleration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038794023156669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1"/>
          <c:order val="0"/>
          <c:tx>
            <c:v>기능수행수준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X)'!$C$3:$C$303</c:f>
              <c:numCache>
                <c:formatCode>0.0000_ </c:formatCode>
                <c:ptCount val="301"/>
                <c:pt idx="0">
                  <c:v>6.3E-2</c:v>
                </c:pt>
                <c:pt idx="1">
                  <c:v>0.1008</c:v>
                </c:pt>
                <c:pt idx="2">
                  <c:v>0.1386</c:v>
                </c:pt>
                <c:pt idx="3">
                  <c:v>0.1764</c:v>
                </c:pt>
                <c:pt idx="4">
                  <c:v>0.1764</c:v>
                </c:pt>
                <c:pt idx="5">
                  <c:v>0.1764</c:v>
                </c:pt>
                <c:pt idx="6">
                  <c:v>0.1764</c:v>
                </c:pt>
                <c:pt idx="7">
                  <c:v>0.1764</c:v>
                </c:pt>
                <c:pt idx="8">
                  <c:v>0.1764</c:v>
                </c:pt>
                <c:pt idx="9">
                  <c:v>0.1764</c:v>
                </c:pt>
                <c:pt idx="10">
                  <c:v>0.1764</c:v>
                </c:pt>
                <c:pt idx="11">
                  <c:v>0.1764</c:v>
                </c:pt>
                <c:pt idx="12">
                  <c:v>0.1764</c:v>
                </c:pt>
                <c:pt idx="13">
                  <c:v>0.1764</c:v>
                </c:pt>
                <c:pt idx="14">
                  <c:v>0.1764</c:v>
                </c:pt>
                <c:pt idx="15">
                  <c:v>0.1764</c:v>
                </c:pt>
                <c:pt idx="16">
                  <c:v>0.16537499999999999</c:v>
                </c:pt>
                <c:pt idx="17">
                  <c:v>0.15564705882352942</c:v>
                </c:pt>
                <c:pt idx="18">
                  <c:v>0.14699999999999999</c:v>
                </c:pt>
                <c:pt idx="19">
                  <c:v>0.13926315789473681</c:v>
                </c:pt>
                <c:pt idx="20">
                  <c:v>0.13229999999999997</c:v>
                </c:pt>
                <c:pt idx="21">
                  <c:v>0.12599999999999997</c:v>
                </c:pt>
                <c:pt idx="22">
                  <c:v>0.12027272727272724</c:v>
                </c:pt>
                <c:pt idx="23">
                  <c:v>0.11504347826086954</c:v>
                </c:pt>
                <c:pt idx="24">
                  <c:v>0.11024999999999997</c:v>
                </c:pt>
                <c:pt idx="25">
                  <c:v>0.10583999999999998</c:v>
                </c:pt>
                <c:pt idx="26">
                  <c:v>0.10176923076923075</c:v>
                </c:pt>
                <c:pt idx="27">
                  <c:v>9.7999999999999976E-2</c:v>
                </c:pt>
                <c:pt idx="28">
                  <c:v>9.4499999999999973E-2</c:v>
                </c:pt>
                <c:pt idx="29">
                  <c:v>9.1241379310344803E-2</c:v>
                </c:pt>
                <c:pt idx="30">
                  <c:v>8.8199999999999973E-2</c:v>
                </c:pt>
                <c:pt idx="31">
                  <c:v>8.5354838709677389E-2</c:v>
                </c:pt>
                <c:pt idx="32">
                  <c:v>8.2687499999999969E-2</c:v>
                </c:pt>
                <c:pt idx="33">
                  <c:v>8.018181818181816E-2</c:v>
                </c:pt>
                <c:pt idx="34">
                  <c:v>7.782352941176468E-2</c:v>
                </c:pt>
                <c:pt idx="35">
                  <c:v>7.5599999999999973E-2</c:v>
                </c:pt>
                <c:pt idx="36">
                  <c:v>7.3499999999999968E-2</c:v>
                </c:pt>
                <c:pt idx="37">
                  <c:v>7.1513513513513483E-2</c:v>
                </c:pt>
                <c:pt idx="38">
                  <c:v>6.9631578947368392E-2</c:v>
                </c:pt>
                <c:pt idx="39">
                  <c:v>6.784615384615382E-2</c:v>
                </c:pt>
                <c:pt idx="40">
                  <c:v>6.6149999999999973E-2</c:v>
                </c:pt>
                <c:pt idx="41">
                  <c:v>6.4536585365853633E-2</c:v>
                </c:pt>
                <c:pt idx="42">
                  <c:v>6.2999999999999973E-2</c:v>
                </c:pt>
                <c:pt idx="43">
                  <c:v>6.1534883720930203E-2</c:v>
                </c:pt>
                <c:pt idx="44">
                  <c:v>6.0136363636363606E-2</c:v>
                </c:pt>
                <c:pt idx="45">
                  <c:v>5.879999999999997E-2</c:v>
                </c:pt>
                <c:pt idx="46">
                  <c:v>5.7521739130434756E-2</c:v>
                </c:pt>
                <c:pt idx="47">
                  <c:v>5.6297872340425506E-2</c:v>
                </c:pt>
                <c:pt idx="48">
                  <c:v>5.5124999999999973E-2</c:v>
                </c:pt>
                <c:pt idx="49">
                  <c:v>5.3999999999999972E-2</c:v>
                </c:pt>
                <c:pt idx="50">
                  <c:v>5.2919999999999981E-2</c:v>
                </c:pt>
                <c:pt idx="51">
                  <c:v>5.1882352941176449E-2</c:v>
                </c:pt>
                <c:pt idx="52">
                  <c:v>5.0884615384615361E-2</c:v>
                </c:pt>
                <c:pt idx="53">
                  <c:v>4.9924528301886768E-2</c:v>
                </c:pt>
                <c:pt idx="54">
                  <c:v>4.8999999999999981E-2</c:v>
                </c:pt>
                <c:pt idx="55">
                  <c:v>4.8109090909090886E-2</c:v>
                </c:pt>
                <c:pt idx="56">
                  <c:v>4.724999999999998E-2</c:v>
                </c:pt>
                <c:pt idx="57">
                  <c:v>4.6421052631578925E-2</c:v>
                </c:pt>
                <c:pt idx="58">
                  <c:v>4.5620689655172394E-2</c:v>
                </c:pt>
                <c:pt idx="59">
                  <c:v>4.4847457627118621E-2</c:v>
                </c:pt>
                <c:pt idx="60">
                  <c:v>4.4099999999999979E-2</c:v>
                </c:pt>
                <c:pt idx="61">
                  <c:v>4.3377049180327851E-2</c:v>
                </c:pt>
                <c:pt idx="62">
                  <c:v>4.2677419354838687E-2</c:v>
                </c:pt>
                <c:pt idx="63">
                  <c:v>4.1999999999999982E-2</c:v>
                </c:pt>
                <c:pt idx="64">
                  <c:v>4.1343749999999978E-2</c:v>
                </c:pt>
                <c:pt idx="65">
                  <c:v>4.0707692307692285E-2</c:v>
                </c:pt>
                <c:pt idx="66">
                  <c:v>4.0090909090909073E-2</c:v>
                </c:pt>
                <c:pt idx="67">
                  <c:v>3.9492537313432816E-2</c:v>
                </c:pt>
                <c:pt idx="68">
                  <c:v>3.8911764705882333E-2</c:v>
                </c:pt>
                <c:pt idx="69">
                  <c:v>3.8347826086956499E-2</c:v>
                </c:pt>
                <c:pt idx="70">
                  <c:v>3.7799999999999979E-2</c:v>
                </c:pt>
                <c:pt idx="71">
                  <c:v>3.7267605633802797E-2</c:v>
                </c:pt>
                <c:pt idx="72">
                  <c:v>3.6749999999999977E-2</c:v>
                </c:pt>
                <c:pt idx="73">
                  <c:v>3.6246575342465732E-2</c:v>
                </c:pt>
                <c:pt idx="74">
                  <c:v>3.5756756756756734E-2</c:v>
                </c:pt>
                <c:pt idx="75">
                  <c:v>3.5279999999999978E-2</c:v>
                </c:pt>
                <c:pt idx="76">
                  <c:v>3.4815789473684189E-2</c:v>
                </c:pt>
                <c:pt idx="77">
                  <c:v>3.4363636363636346E-2</c:v>
                </c:pt>
                <c:pt idx="78">
                  <c:v>3.3923076923076903E-2</c:v>
                </c:pt>
                <c:pt idx="79">
                  <c:v>3.3493670886075931E-2</c:v>
                </c:pt>
                <c:pt idx="80">
                  <c:v>3.3074999999999979E-2</c:v>
                </c:pt>
                <c:pt idx="81">
                  <c:v>3.2666666666666649E-2</c:v>
                </c:pt>
                <c:pt idx="82">
                  <c:v>3.2268292682926809E-2</c:v>
                </c:pt>
                <c:pt idx="83">
                  <c:v>3.1879518072289136E-2</c:v>
                </c:pt>
                <c:pt idx="84">
                  <c:v>3.1499999999999979E-2</c:v>
                </c:pt>
                <c:pt idx="85">
                  <c:v>3.1129411764705864E-2</c:v>
                </c:pt>
                <c:pt idx="86">
                  <c:v>3.0767441860465098E-2</c:v>
                </c:pt>
                <c:pt idx="87">
                  <c:v>3.0413793103448258E-2</c:v>
                </c:pt>
                <c:pt idx="88">
                  <c:v>3.0068181818181799E-2</c:v>
                </c:pt>
                <c:pt idx="89">
                  <c:v>2.9730337078651668E-2</c:v>
                </c:pt>
                <c:pt idx="90">
                  <c:v>2.9399999999999982E-2</c:v>
                </c:pt>
                <c:pt idx="91">
                  <c:v>2.9076923076923059E-2</c:v>
                </c:pt>
                <c:pt idx="92">
                  <c:v>2.8760869565217374E-2</c:v>
                </c:pt>
                <c:pt idx="93">
                  <c:v>2.845161290322579E-2</c:v>
                </c:pt>
                <c:pt idx="94">
                  <c:v>2.814893617021275E-2</c:v>
                </c:pt>
                <c:pt idx="95">
                  <c:v>2.7852631578947351E-2</c:v>
                </c:pt>
                <c:pt idx="96">
                  <c:v>2.7562499999999983E-2</c:v>
                </c:pt>
                <c:pt idx="97">
                  <c:v>2.7278350515463901E-2</c:v>
                </c:pt>
                <c:pt idx="98">
                  <c:v>2.6999999999999982E-2</c:v>
                </c:pt>
                <c:pt idx="99">
                  <c:v>2.6727272727272711E-2</c:v>
                </c:pt>
                <c:pt idx="100">
                  <c:v>2.6459999999999984E-2</c:v>
                </c:pt>
                <c:pt idx="101">
                  <c:v>2.619801980198018E-2</c:v>
                </c:pt>
                <c:pt idx="102">
                  <c:v>2.5941176470588218E-2</c:v>
                </c:pt>
                <c:pt idx="103">
                  <c:v>2.5689320388349497E-2</c:v>
                </c:pt>
                <c:pt idx="104">
                  <c:v>2.5442307692307677E-2</c:v>
                </c:pt>
                <c:pt idx="105">
                  <c:v>2.5199999999999983E-2</c:v>
                </c:pt>
                <c:pt idx="106">
                  <c:v>2.4962264150943381E-2</c:v>
                </c:pt>
                <c:pt idx="107">
                  <c:v>2.4728971962616808E-2</c:v>
                </c:pt>
                <c:pt idx="108">
                  <c:v>2.4499999999999984E-2</c:v>
                </c:pt>
                <c:pt idx="109">
                  <c:v>2.4275229357798148E-2</c:v>
                </c:pt>
                <c:pt idx="110">
                  <c:v>2.405454545454544E-2</c:v>
                </c:pt>
                <c:pt idx="111">
                  <c:v>2.3837837837837821E-2</c:v>
                </c:pt>
                <c:pt idx="112">
                  <c:v>2.3624999999999983E-2</c:v>
                </c:pt>
                <c:pt idx="113">
                  <c:v>2.3415929203539809E-2</c:v>
                </c:pt>
                <c:pt idx="114">
                  <c:v>2.3210526315789459E-2</c:v>
                </c:pt>
                <c:pt idx="115">
                  <c:v>2.3008695652173897E-2</c:v>
                </c:pt>
                <c:pt idx="116">
                  <c:v>2.281034482758619E-2</c:v>
                </c:pt>
                <c:pt idx="117">
                  <c:v>2.26153846153846E-2</c:v>
                </c:pt>
                <c:pt idx="118">
                  <c:v>2.2423728813559307E-2</c:v>
                </c:pt>
                <c:pt idx="119">
                  <c:v>2.2235294117647044E-2</c:v>
                </c:pt>
                <c:pt idx="120">
                  <c:v>2.2049999999999986E-2</c:v>
                </c:pt>
                <c:pt idx="121">
                  <c:v>2.1867768595041307E-2</c:v>
                </c:pt>
                <c:pt idx="122">
                  <c:v>2.1688524590163918E-2</c:v>
                </c:pt>
                <c:pt idx="123">
                  <c:v>2.1512195121951204E-2</c:v>
                </c:pt>
                <c:pt idx="124">
                  <c:v>2.133870967741934E-2</c:v>
                </c:pt>
                <c:pt idx="125">
                  <c:v>2.1167999999999985E-2</c:v>
                </c:pt>
                <c:pt idx="126">
                  <c:v>2.0999999999999987E-2</c:v>
                </c:pt>
                <c:pt idx="127">
                  <c:v>2.0834645669291326E-2</c:v>
                </c:pt>
                <c:pt idx="128">
                  <c:v>2.0671874999999985E-2</c:v>
                </c:pt>
                <c:pt idx="129">
                  <c:v>2.0511627906976731E-2</c:v>
                </c:pt>
                <c:pt idx="130">
                  <c:v>2.0353846153846139E-2</c:v>
                </c:pt>
                <c:pt idx="131">
                  <c:v>2.0198473282442734E-2</c:v>
                </c:pt>
                <c:pt idx="132">
                  <c:v>2.0045454545454533E-2</c:v>
                </c:pt>
                <c:pt idx="133">
                  <c:v>1.989473684210525E-2</c:v>
                </c:pt>
                <c:pt idx="134">
                  <c:v>1.9746268656716404E-2</c:v>
                </c:pt>
                <c:pt idx="135">
                  <c:v>1.9599999999999985E-2</c:v>
                </c:pt>
                <c:pt idx="136">
                  <c:v>1.9455882352941163E-2</c:v>
                </c:pt>
                <c:pt idx="137">
                  <c:v>1.9313868613138673E-2</c:v>
                </c:pt>
                <c:pt idx="138">
                  <c:v>1.9173913043478246E-2</c:v>
                </c:pt>
                <c:pt idx="139">
                  <c:v>1.9035971223021569E-2</c:v>
                </c:pt>
                <c:pt idx="140">
                  <c:v>1.8899999999999986E-2</c:v>
                </c:pt>
                <c:pt idx="141">
                  <c:v>1.8765957446808496E-2</c:v>
                </c:pt>
                <c:pt idx="142">
                  <c:v>1.8633802816901395E-2</c:v>
                </c:pt>
                <c:pt idx="143">
                  <c:v>1.8503496503496492E-2</c:v>
                </c:pt>
                <c:pt idx="144">
                  <c:v>1.8374999999999989E-2</c:v>
                </c:pt>
                <c:pt idx="145">
                  <c:v>1.8248275862068952E-2</c:v>
                </c:pt>
                <c:pt idx="146">
                  <c:v>1.8123287671232863E-2</c:v>
                </c:pt>
                <c:pt idx="147">
                  <c:v>1.7999999999999988E-2</c:v>
                </c:pt>
                <c:pt idx="148">
                  <c:v>1.7878378378378367E-2</c:v>
                </c:pt>
                <c:pt idx="149">
                  <c:v>1.7758389261744955E-2</c:v>
                </c:pt>
                <c:pt idx="150">
                  <c:v>1.7639999999999989E-2</c:v>
                </c:pt>
                <c:pt idx="151">
                  <c:v>1.740713126617251E-2</c:v>
                </c:pt>
                <c:pt idx="152">
                  <c:v>1.7178843490304685E-2</c:v>
                </c:pt>
                <c:pt idx="153">
                  <c:v>1.6955017301038038E-2</c:v>
                </c:pt>
                <c:pt idx="154">
                  <c:v>1.6735537190082622E-2</c:v>
                </c:pt>
                <c:pt idx="155">
                  <c:v>1.652029136316335E-2</c:v>
                </c:pt>
                <c:pt idx="156">
                  <c:v>1.630917159763311E-2</c:v>
                </c:pt>
                <c:pt idx="157">
                  <c:v>1.6102073106414032E-2</c:v>
                </c:pt>
                <c:pt idx="158">
                  <c:v>1.5898894407947419E-2</c:v>
                </c:pt>
                <c:pt idx="159">
                  <c:v>1.5699537201851171E-2</c:v>
                </c:pt>
                <c:pt idx="160">
                  <c:v>1.5503906249999977E-2</c:v>
                </c:pt>
                <c:pt idx="161">
                  <c:v>1.5311909262759903E-2</c:v>
                </c:pt>
                <c:pt idx="162">
                  <c:v>1.5123456790123434E-2</c:v>
                </c:pt>
                <c:pt idx="163">
                  <c:v>1.4938462117505344E-2</c:v>
                </c:pt>
                <c:pt idx="164">
                  <c:v>1.4756841165972614E-2</c:v>
                </c:pt>
                <c:pt idx="165">
                  <c:v>1.4578512396694193E-2</c:v>
                </c:pt>
                <c:pt idx="166">
                  <c:v>1.440339671940773E-2</c:v>
                </c:pt>
                <c:pt idx="167">
                  <c:v>1.4231417404711514E-2</c:v>
                </c:pt>
                <c:pt idx="168">
                  <c:v>1.406249999999998E-2</c:v>
                </c:pt>
                <c:pt idx="169">
                  <c:v>1.3896572248870817E-2</c:v>
                </c:pt>
                <c:pt idx="170">
                  <c:v>1.3733564013840811E-2</c:v>
                </c:pt>
                <c:pt idx="171">
                  <c:v>1.3573407202216047E-2</c:v>
                </c:pt>
                <c:pt idx="172">
                  <c:v>1.3416035694970234E-2</c:v>
                </c:pt>
                <c:pt idx="173">
                  <c:v>1.3261385278492414E-2</c:v>
                </c:pt>
                <c:pt idx="174">
                  <c:v>1.3109393579072514E-2</c:v>
                </c:pt>
                <c:pt idx="175">
                  <c:v>1.2959999999999982E-2</c:v>
                </c:pt>
                <c:pt idx="176">
                  <c:v>1.2813145661157006E-2</c:v>
                </c:pt>
                <c:pt idx="177">
                  <c:v>1.266877334099395E-2</c:v>
                </c:pt>
                <c:pt idx="178">
                  <c:v>1.2526827420780186E-2</c:v>
                </c:pt>
                <c:pt idx="179">
                  <c:v>1.2387253831028976E-2</c:v>
                </c:pt>
                <c:pt idx="180">
                  <c:v>1.2249999999999981E-2</c:v>
                </c:pt>
                <c:pt idx="181">
                  <c:v>1.2115014804187888E-2</c:v>
                </c:pt>
                <c:pt idx="182">
                  <c:v>1.1982248520710042E-2</c:v>
                </c:pt>
                <c:pt idx="183">
                  <c:v>1.1851652781510329E-2</c:v>
                </c:pt>
                <c:pt idx="184">
                  <c:v>1.1723180529300551E-2</c:v>
                </c:pt>
                <c:pt idx="185">
                  <c:v>1.1596785975164337E-2</c:v>
                </c:pt>
                <c:pt idx="186">
                  <c:v>1.1472424557752324E-2</c:v>
                </c:pt>
                <c:pt idx="187">
                  <c:v>1.1350052904000669E-2</c:v>
                </c:pt>
                <c:pt idx="188">
                  <c:v>1.1229628791308267E-2</c:v>
                </c:pt>
                <c:pt idx="189">
                  <c:v>1.1111111111111094E-2</c:v>
                </c:pt>
                <c:pt idx="190">
                  <c:v>1.0994459833794998E-2</c:v>
                </c:pt>
                <c:pt idx="191">
                  <c:v>1.0879635974891022E-2</c:v>
                </c:pt>
                <c:pt idx="192">
                  <c:v>1.0766601562499985E-2</c:v>
                </c:pt>
                <c:pt idx="193">
                  <c:v>1.0655319605895445E-2</c:v>
                </c:pt>
                <c:pt idx="194">
                  <c:v>1.0545754065256653E-2</c:v>
                </c:pt>
                <c:pt idx="195">
                  <c:v>1.0437869822485192E-2</c:v>
                </c:pt>
                <c:pt idx="196">
                  <c:v>1.033163265306121E-2</c:v>
                </c:pt>
                <c:pt idx="197">
                  <c:v>1.0227009198897147E-2</c:v>
                </c:pt>
                <c:pt idx="198">
                  <c:v>1.0123966942148746E-2</c:v>
                </c:pt>
                <c:pt idx="199">
                  <c:v>1.0022474179944937E-2</c:v>
                </c:pt>
                <c:pt idx="200">
                  <c:v>9.9224999999999869E-3</c:v>
                </c:pt>
                <c:pt idx="201">
                  <c:v>9.8240142570728359E-3</c:v>
                </c:pt>
                <c:pt idx="202">
                  <c:v>9.7269875502401654E-3</c:v>
                </c:pt>
                <c:pt idx="203">
                  <c:v>9.6313912009512431E-3</c:v>
                </c:pt>
                <c:pt idx="204">
                  <c:v>9.537197231833907E-3</c:v>
                </c:pt>
                <c:pt idx="205">
                  <c:v>9.4443783462224845E-3</c:v>
                </c:pt>
                <c:pt idx="206">
                  <c:v>9.3529079083796793E-3</c:v>
                </c:pt>
                <c:pt idx="207">
                  <c:v>9.2627599243856346E-3</c:v>
                </c:pt>
                <c:pt idx="208">
                  <c:v>9.1739090236686426E-3</c:v>
                </c:pt>
                <c:pt idx="209">
                  <c:v>9.0863304411529094E-3</c:v>
                </c:pt>
                <c:pt idx="210">
                  <c:v>9.000000000000008E-3</c:v>
                </c:pt>
                <c:pt idx="211">
                  <c:v>8.9148940949215078E-3</c:v>
                </c:pt>
                <c:pt idx="212">
                  <c:v>8.8309896760413072E-3</c:v>
                </c:pt>
                <c:pt idx="213">
                  <c:v>8.7482642332870585E-3</c:v>
                </c:pt>
                <c:pt idx="214">
                  <c:v>8.6666957812909558E-3</c:v>
                </c:pt>
                <c:pt idx="215">
                  <c:v>8.5862628447809786E-3</c:v>
                </c:pt>
                <c:pt idx="216">
                  <c:v>8.5069444444444628E-3</c:v>
                </c:pt>
                <c:pt idx="217">
                  <c:v>8.4287200832466359E-3</c:v>
                </c:pt>
                <c:pt idx="218">
                  <c:v>8.3515697331874618E-3</c:v>
                </c:pt>
                <c:pt idx="219">
                  <c:v>8.2754738224807868E-3</c:v>
                </c:pt>
                <c:pt idx="220">
                  <c:v>8.2004132231405184E-3</c:v>
                </c:pt>
                <c:pt idx="221">
                  <c:v>8.1263692389590952E-3</c:v>
                </c:pt>
                <c:pt idx="222">
                  <c:v>8.0533235938641604E-3</c:v>
                </c:pt>
                <c:pt idx="223">
                  <c:v>7.9812584206398942E-3</c:v>
                </c:pt>
                <c:pt idx="224">
                  <c:v>7.9101562500000274E-3</c:v>
                </c:pt>
                <c:pt idx="225">
                  <c:v>7.8400000000000275E-3</c:v>
                </c:pt>
                <c:pt idx="226">
                  <c:v>7.7707729657765191E-3</c:v>
                </c:pt>
                <c:pt idx="227">
                  <c:v>7.70245880960239E-3</c:v>
                </c:pt>
                <c:pt idx="228">
                  <c:v>7.6350415512465688E-3</c:v>
                </c:pt>
                <c:pt idx="229">
                  <c:v>7.5685055586278234E-3</c:v>
                </c:pt>
                <c:pt idx="230">
                  <c:v>7.5028355387523962E-3</c:v>
                </c:pt>
                <c:pt idx="231">
                  <c:v>7.4380165289256546E-3</c:v>
                </c:pt>
                <c:pt idx="232">
                  <c:v>7.374033888228335E-3</c:v>
                </c:pt>
                <c:pt idx="233">
                  <c:v>7.3108732892483179E-3</c:v>
                </c:pt>
                <c:pt idx="234">
                  <c:v>7.248520710059209E-3</c:v>
                </c:pt>
                <c:pt idx="235">
                  <c:v>7.1869624264373393E-3</c:v>
                </c:pt>
                <c:pt idx="236">
                  <c:v>7.1261850043091452E-3</c:v>
                </c:pt>
                <c:pt idx="237">
                  <c:v>7.0661752924211256E-3</c:v>
                </c:pt>
                <c:pt idx="238">
                  <c:v>7.0069204152249541E-3</c:v>
                </c:pt>
                <c:pt idx="239">
                  <c:v>6.948407765970525E-3</c:v>
                </c:pt>
                <c:pt idx="240">
                  <c:v>6.8906250000000425E-3</c:v>
                </c:pt>
                <c:pt idx="241">
                  <c:v>6.8335600282364711E-3</c:v>
                </c:pt>
                <c:pt idx="242">
                  <c:v>6.7772010108599571E-3</c:v>
                </c:pt>
                <c:pt idx="243">
                  <c:v>6.7215363511660244E-3</c:v>
                </c:pt>
                <c:pt idx="244">
                  <c:v>6.6665546895996143E-3</c:v>
                </c:pt>
                <c:pt idx="245">
                  <c:v>6.6122448979592284E-3</c:v>
                </c:pt>
                <c:pt idx="246">
                  <c:v>6.5585960737656619E-3</c:v>
                </c:pt>
                <c:pt idx="247">
                  <c:v>6.5055975347899954E-3</c:v>
                </c:pt>
                <c:pt idx="248">
                  <c:v>6.4532388137357385E-3</c:v>
                </c:pt>
                <c:pt idx="249">
                  <c:v>6.4015096530701593E-3</c:v>
                </c:pt>
                <c:pt idx="250">
                  <c:v>6.3504000000000477E-3</c:v>
                </c:pt>
                <c:pt idx="251">
                  <c:v>6.2999000015873247E-3</c:v>
                </c:pt>
                <c:pt idx="252">
                  <c:v>6.2500000000000489E-3</c:v>
                </c:pt>
                <c:pt idx="253">
                  <c:v>6.200690527894564E-3</c:v>
                </c:pt>
                <c:pt idx="254">
                  <c:v>6.1519623039246575E-3</c:v>
                </c:pt>
                <c:pt idx="255">
                  <c:v>6.1038062283737529E-3</c:v>
                </c:pt>
                <c:pt idx="256">
                  <c:v>6.0562133789063E-3</c:v>
                </c:pt>
                <c:pt idx="257">
                  <c:v>6.0091750064346673E-3</c:v>
                </c:pt>
                <c:pt idx="258">
                  <c:v>5.9626825310979421E-3</c:v>
                </c:pt>
                <c:pt idx="259">
                  <c:v>5.9167275383492125E-3</c:v>
                </c:pt>
                <c:pt idx="260">
                  <c:v>5.8713017751479812E-3</c:v>
                </c:pt>
                <c:pt idx="261">
                  <c:v>5.8263971462545116E-3</c:v>
                </c:pt>
                <c:pt idx="262">
                  <c:v>5.7820057106229769E-3</c:v>
                </c:pt>
                <c:pt idx="263">
                  <c:v>5.7381196778904381E-3</c:v>
                </c:pt>
                <c:pt idx="264">
                  <c:v>5.6947314049587312E-3</c:v>
                </c:pt>
                <c:pt idx="265">
                  <c:v>5.6518333926664837E-3</c:v>
                </c:pt>
                <c:pt idx="266">
                  <c:v>5.6094182825485303E-3</c:v>
                </c:pt>
                <c:pt idx="267">
                  <c:v>5.5674788536801455E-3</c:v>
                </c:pt>
                <c:pt idx="268">
                  <c:v>5.5260080196035304E-3</c:v>
                </c:pt>
                <c:pt idx="269">
                  <c:v>5.4849988253341435E-3</c:v>
                </c:pt>
                <c:pt idx="270">
                  <c:v>5.4444444444445E-3</c:v>
                </c:pt>
                <c:pt idx="271">
                  <c:v>5.4043381762231462E-3</c:v>
                </c:pt>
                <c:pt idx="272">
                  <c:v>5.3646734429066301E-3</c:v>
                </c:pt>
                <c:pt idx="273">
                  <c:v>5.325443786982304E-3</c:v>
                </c:pt>
                <c:pt idx="274">
                  <c:v>5.2866428685599152E-3</c:v>
                </c:pt>
                <c:pt idx="275">
                  <c:v>5.2482644628099743E-3</c:v>
                </c:pt>
                <c:pt idx="276">
                  <c:v>5.2103024574669757E-3</c:v>
                </c:pt>
                <c:pt idx="277">
                  <c:v>5.1727508503956049E-3</c:v>
                </c:pt>
                <c:pt idx="278">
                  <c:v>5.1356037472181093E-3</c:v>
                </c:pt>
                <c:pt idx="279">
                  <c:v>5.0988553590010973E-3</c:v>
                </c:pt>
                <c:pt idx="280">
                  <c:v>5.0625000000000574E-3</c:v>
                </c:pt>
                <c:pt idx="281">
                  <c:v>5.0265320854599674E-3</c:v>
                </c:pt>
                <c:pt idx="282">
                  <c:v>4.9909461294704062E-3</c:v>
                </c:pt>
                <c:pt idx="283">
                  <c:v>4.9557367428736104E-3</c:v>
                </c:pt>
                <c:pt idx="284">
                  <c:v>4.9208986312240218E-3</c:v>
                </c:pt>
                <c:pt idx="285">
                  <c:v>4.8864265927978413E-3</c:v>
                </c:pt>
                <c:pt idx="286">
                  <c:v>4.8523155166512386E-3</c:v>
                </c:pt>
                <c:pt idx="287">
                  <c:v>4.8185603807258167E-3</c:v>
                </c:pt>
                <c:pt idx="288">
                  <c:v>4.7851562500000576E-3</c:v>
                </c:pt>
                <c:pt idx="289">
                  <c:v>4.7520982746854668E-3</c:v>
                </c:pt>
                <c:pt idx="290">
                  <c:v>4.7193816884661703E-3</c:v>
                </c:pt>
                <c:pt idx="291">
                  <c:v>4.6870018067808007E-3</c:v>
                </c:pt>
                <c:pt idx="292">
                  <c:v>4.6549540251454892E-3</c:v>
                </c:pt>
                <c:pt idx="293">
                  <c:v>4.6232338175168615E-3</c:v>
                </c:pt>
                <c:pt idx="294">
                  <c:v>4.5918367346939369E-3</c:v>
                </c:pt>
                <c:pt idx="295">
                  <c:v>4.5607584027578868E-3</c:v>
                </c:pt>
                <c:pt idx="296">
                  <c:v>4.5299945215486349E-3</c:v>
                </c:pt>
                <c:pt idx="297">
                  <c:v>4.4995408631772864E-3</c:v>
                </c:pt>
                <c:pt idx="298">
                  <c:v>4.4693932705734572E-3</c:v>
                </c:pt>
                <c:pt idx="299">
                  <c:v>4.439547656066546E-3</c:v>
                </c:pt>
                <c:pt idx="300">
                  <c:v>4.4100000000000597E-3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33B-40AA-BAB6-5F433711E3A2}"/>
            </c:ext>
          </c:extLst>
        </c:ser>
        <c:ser>
          <c:idx val="0"/>
          <c:order val="1"/>
          <c:tx>
            <c:v>붕괴방지수준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X)'!$G$3:$G$303</c:f>
              <c:numCache>
                <c:formatCode>0.0000_ </c:formatCode>
                <c:ptCount val="301"/>
                <c:pt idx="0">
                  <c:v>0.154</c:v>
                </c:pt>
                <c:pt idx="1">
                  <c:v>0.24640000000000001</c:v>
                </c:pt>
                <c:pt idx="2">
                  <c:v>0.33879999999999999</c:v>
                </c:pt>
                <c:pt idx="3">
                  <c:v>0.43120000000000003</c:v>
                </c:pt>
                <c:pt idx="4">
                  <c:v>0.43119999999999997</c:v>
                </c:pt>
                <c:pt idx="5">
                  <c:v>0.43119999999999997</c:v>
                </c:pt>
                <c:pt idx="6">
                  <c:v>0.43119999999999997</c:v>
                </c:pt>
                <c:pt idx="7">
                  <c:v>0.43119999999999997</c:v>
                </c:pt>
                <c:pt idx="8">
                  <c:v>0.43119999999999997</c:v>
                </c:pt>
                <c:pt idx="9">
                  <c:v>0.43119999999999997</c:v>
                </c:pt>
                <c:pt idx="10">
                  <c:v>0.43119999999999997</c:v>
                </c:pt>
                <c:pt idx="11">
                  <c:v>0.43119999999999997</c:v>
                </c:pt>
                <c:pt idx="12">
                  <c:v>0.43119999999999997</c:v>
                </c:pt>
                <c:pt idx="13">
                  <c:v>0.43119999999999997</c:v>
                </c:pt>
                <c:pt idx="14">
                  <c:v>0.43119999999999997</c:v>
                </c:pt>
                <c:pt idx="15">
                  <c:v>0.43119999999999997</c:v>
                </c:pt>
                <c:pt idx="16">
                  <c:v>0.40424999999999989</c:v>
                </c:pt>
                <c:pt idx="17">
                  <c:v>0.380470588235294</c:v>
                </c:pt>
                <c:pt idx="18">
                  <c:v>0.35933333333333323</c:v>
                </c:pt>
                <c:pt idx="19">
                  <c:v>0.34042105263157885</c:v>
                </c:pt>
                <c:pt idx="20">
                  <c:v>0.32339999999999985</c:v>
                </c:pt>
                <c:pt idx="21">
                  <c:v>0.30799999999999988</c:v>
                </c:pt>
                <c:pt idx="22">
                  <c:v>0.29399999999999987</c:v>
                </c:pt>
                <c:pt idx="23">
                  <c:v>0.2812173913043477</c:v>
                </c:pt>
                <c:pt idx="24">
                  <c:v>0.26949999999999985</c:v>
                </c:pt>
                <c:pt idx="25">
                  <c:v>0.25871999999999989</c:v>
                </c:pt>
                <c:pt idx="26">
                  <c:v>0.24876923076923066</c:v>
                </c:pt>
                <c:pt idx="27">
                  <c:v>0.23955555555555544</c:v>
                </c:pt>
                <c:pt idx="28">
                  <c:v>0.2309999999999999</c:v>
                </c:pt>
                <c:pt idx="29">
                  <c:v>0.22303448275862059</c:v>
                </c:pt>
                <c:pt idx="30">
                  <c:v>0.21559999999999988</c:v>
                </c:pt>
                <c:pt idx="31">
                  <c:v>0.20864516129032246</c:v>
                </c:pt>
                <c:pt idx="32">
                  <c:v>0.20212499999999989</c:v>
                </c:pt>
                <c:pt idx="33">
                  <c:v>0.1959999999999999</c:v>
                </c:pt>
                <c:pt idx="34">
                  <c:v>0.19023529411764695</c:v>
                </c:pt>
                <c:pt idx="35">
                  <c:v>0.18479999999999988</c:v>
                </c:pt>
                <c:pt idx="36">
                  <c:v>0.17966666666666656</c:v>
                </c:pt>
                <c:pt idx="37">
                  <c:v>0.17481081081081071</c:v>
                </c:pt>
                <c:pt idx="38">
                  <c:v>0.17021052631578937</c:v>
                </c:pt>
                <c:pt idx="39">
                  <c:v>0.16584615384615373</c:v>
                </c:pt>
                <c:pt idx="40">
                  <c:v>0.1616999999999999</c:v>
                </c:pt>
                <c:pt idx="41">
                  <c:v>0.1577560975609755</c:v>
                </c:pt>
                <c:pt idx="42">
                  <c:v>0.15399999999999989</c:v>
                </c:pt>
                <c:pt idx="43">
                  <c:v>0.15041860465116269</c:v>
                </c:pt>
                <c:pt idx="44">
                  <c:v>0.14699999999999991</c:v>
                </c:pt>
                <c:pt idx="45">
                  <c:v>0.14373333333333324</c:v>
                </c:pt>
                <c:pt idx="46">
                  <c:v>0.14060869565217382</c:v>
                </c:pt>
                <c:pt idx="47">
                  <c:v>0.13761702127659564</c:v>
                </c:pt>
                <c:pt idx="48">
                  <c:v>0.1347499999999999</c:v>
                </c:pt>
                <c:pt idx="49">
                  <c:v>0.1319999999999999</c:v>
                </c:pt>
                <c:pt idx="50">
                  <c:v>0.12935999999999992</c:v>
                </c:pt>
                <c:pt idx="51">
                  <c:v>0.12682352941176461</c:v>
                </c:pt>
                <c:pt idx="52">
                  <c:v>0.1243846153846153</c:v>
                </c:pt>
                <c:pt idx="53">
                  <c:v>0.12203773584905653</c:v>
                </c:pt>
                <c:pt idx="54">
                  <c:v>0.11977777777777769</c:v>
                </c:pt>
                <c:pt idx="55">
                  <c:v>0.11759999999999993</c:v>
                </c:pt>
                <c:pt idx="56">
                  <c:v>0.11549999999999992</c:v>
                </c:pt>
                <c:pt idx="57">
                  <c:v>0.11347368421052624</c:v>
                </c:pt>
                <c:pt idx="58">
                  <c:v>0.11151724137931027</c:v>
                </c:pt>
                <c:pt idx="59">
                  <c:v>0.10962711864406773</c:v>
                </c:pt>
                <c:pt idx="60">
                  <c:v>0.10779999999999992</c:v>
                </c:pt>
                <c:pt idx="61">
                  <c:v>0.10603278688524582</c:v>
                </c:pt>
                <c:pt idx="62">
                  <c:v>0.10432258064516121</c:v>
                </c:pt>
                <c:pt idx="63">
                  <c:v>0.10266666666666659</c:v>
                </c:pt>
                <c:pt idx="64">
                  <c:v>0.10106249999999993</c:v>
                </c:pt>
                <c:pt idx="65">
                  <c:v>9.9507692307692228E-2</c:v>
                </c:pt>
                <c:pt idx="66">
                  <c:v>9.7999999999999921E-2</c:v>
                </c:pt>
                <c:pt idx="67">
                  <c:v>9.6537313432835753E-2</c:v>
                </c:pt>
                <c:pt idx="68">
                  <c:v>9.511764705882346E-2</c:v>
                </c:pt>
                <c:pt idx="69">
                  <c:v>9.3739130434782533E-2</c:v>
                </c:pt>
                <c:pt idx="70">
                  <c:v>9.2399999999999927E-2</c:v>
                </c:pt>
                <c:pt idx="71">
                  <c:v>9.1098591549295699E-2</c:v>
                </c:pt>
                <c:pt idx="72">
                  <c:v>8.9833333333333265E-2</c:v>
                </c:pt>
                <c:pt idx="73">
                  <c:v>8.8602739726027335E-2</c:v>
                </c:pt>
                <c:pt idx="74">
                  <c:v>8.740540540540534E-2</c:v>
                </c:pt>
                <c:pt idx="75">
                  <c:v>8.6239999999999928E-2</c:v>
                </c:pt>
                <c:pt idx="76">
                  <c:v>8.510526315789467E-2</c:v>
                </c:pt>
                <c:pt idx="77">
                  <c:v>8.3999999999999936E-2</c:v>
                </c:pt>
                <c:pt idx="78">
                  <c:v>8.2923076923076863E-2</c:v>
                </c:pt>
                <c:pt idx="79">
                  <c:v>8.1873417721518918E-2</c:v>
                </c:pt>
                <c:pt idx="80">
                  <c:v>8.0849999999999936E-2</c:v>
                </c:pt>
                <c:pt idx="81">
                  <c:v>7.9851851851851785E-2</c:v>
                </c:pt>
                <c:pt idx="82">
                  <c:v>7.8878048780487736E-2</c:v>
                </c:pt>
                <c:pt idx="83">
                  <c:v>7.7927710843373424E-2</c:v>
                </c:pt>
                <c:pt idx="84">
                  <c:v>7.6999999999999943E-2</c:v>
                </c:pt>
                <c:pt idx="85">
                  <c:v>7.6094117647058757E-2</c:v>
                </c:pt>
                <c:pt idx="86">
                  <c:v>7.5209302325581331E-2</c:v>
                </c:pt>
                <c:pt idx="87">
                  <c:v>7.4344827586206835E-2</c:v>
                </c:pt>
                <c:pt idx="88">
                  <c:v>7.349999999999994E-2</c:v>
                </c:pt>
                <c:pt idx="89">
                  <c:v>7.2674157303370721E-2</c:v>
                </c:pt>
                <c:pt idx="90">
                  <c:v>7.1866666666666607E-2</c:v>
                </c:pt>
                <c:pt idx="91">
                  <c:v>7.1076923076923024E-2</c:v>
                </c:pt>
                <c:pt idx="92">
                  <c:v>7.0304347826086896E-2</c:v>
                </c:pt>
                <c:pt idx="93">
                  <c:v>6.9548387096774134E-2</c:v>
                </c:pt>
                <c:pt idx="94">
                  <c:v>6.8808510638297821E-2</c:v>
                </c:pt>
                <c:pt idx="95">
                  <c:v>6.8084210526315733E-2</c:v>
                </c:pt>
                <c:pt idx="96">
                  <c:v>6.7374999999999949E-2</c:v>
                </c:pt>
                <c:pt idx="97">
                  <c:v>6.6680412371133965E-2</c:v>
                </c:pt>
                <c:pt idx="98">
                  <c:v>6.5999999999999948E-2</c:v>
                </c:pt>
                <c:pt idx="99">
                  <c:v>6.5333333333333271E-2</c:v>
                </c:pt>
                <c:pt idx="100">
                  <c:v>6.4679999999999946E-2</c:v>
                </c:pt>
                <c:pt idx="101">
                  <c:v>6.4039603960395985E-2</c:v>
                </c:pt>
                <c:pt idx="102">
                  <c:v>6.3411764705882293E-2</c:v>
                </c:pt>
                <c:pt idx="103">
                  <c:v>6.279611650485431E-2</c:v>
                </c:pt>
                <c:pt idx="104">
                  <c:v>6.2192307692307637E-2</c:v>
                </c:pt>
                <c:pt idx="105">
                  <c:v>6.1599999999999946E-2</c:v>
                </c:pt>
                <c:pt idx="106">
                  <c:v>6.101886792452825E-2</c:v>
                </c:pt>
                <c:pt idx="107">
                  <c:v>6.0448598130841066E-2</c:v>
                </c:pt>
                <c:pt idx="108">
                  <c:v>5.9888888888888839E-2</c:v>
                </c:pt>
                <c:pt idx="109">
                  <c:v>5.9339449541284353E-2</c:v>
                </c:pt>
                <c:pt idx="110">
                  <c:v>5.879999999999995E-2</c:v>
                </c:pt>
                <c:pt idx="111">
                  <c:v>5.8270270270270222E-2</c:v>
                </c:pt>
                <c:pt idx="112">
                  <c:v>5.7749999999999947E-2</c:v>
                </c:pt>
                <c:pt idx="113">
                  <c:v>5.7238938053097294E-2</c:v>
                </c:pt>
                <c:pt idx="114">
                  <c:v>5.6736842105263106E-2</c:v>
                </c:pt>
                <c:pt idx="115">
                  <c:v>5.6243478260869513E-2</c:v>
                </c:pt>
                <c:pt idx="116">
                  <c:v>5.575862068965512E-2</c:v>
                </c:pt>
                <c:pt idx="117">
                  <c:v>5.5282051282051235E-2</c:v>
                </c:pt>
                <c:pt idx="118">
                  <c:v>5.4813559322033849E-2</c:v>
                </c:pt>
                <c:pt idx="119">
                  <c:v>5.4352941176470541E-2</c:v>
                </c:pt>
                <c:pt idx="120">
                  <c:v>5.3899999999999955E-2</c:v>
                </c:pt>
                <c:pt idx="121">
                  <c:v>5.3454545454545407E-2</c:v>
                </c:pt>
                <c:pt idx="122">
                  <c:v>5.3016393442622906E-2</c:v>
                </c:pt>
                <c:pt idx="123">
                  <c:v>5.2585365853658486E-2</c:v>
                </c:pt>
                <c:pt idx="124">
                  <c:v>5.21612903225806E-2</c:v>
                </c:pt>
                <c:pt idx="125">
                  <c:v>5.1743999999999957E-2</c:v>
                </c:pt>
                <c:pt idx="126">
                  <c:v>5.1333333333333286E-2</c:v>
                </c:pt>
                <c:pt idx="127">
                  <c:v>5.0929133858267674E-2</c:v>
                </c:pt>
                <c:pt idx="128">
                  <c:v>5.0531249999999951E-2</c:v>
                </c:pt>
                <c:pt idx="129">
                  <c:v>5.0139534883720888E-2</c:v>
                </c:pt>
                <c:pt idx="130">
                  <c:v>4.9753846153846107E-2</c:v>
                </c:pt>
                <c:pt idx="131">
                  <c:v>4.937404580152667E-2</c:v>
                </c:pt>
                <c:pt idx="132">
                  <c:v>4.8999999999999953E-2</c:v>
                </c:pt>
                <c:pt idx="133">
                  <c:v>4.863157894736838E-2</c:v>
                </c:pt>
                <c:pt idx="134">
                  <c:v>4.826865671641787E-2</c:v>
                </c:pt>
                <c:pt idx="135">
                  <c:v>4.7911111111111064E-2</c:v>
                </c:pt>
                <c:pt idx="136">
                  <c:v>4.7558823529411723E-2</c:v>
                </c:pt>
                <c:pt idx="137">
                  <c:v>4.7211678832116744E-2</c:v>
                </c:pt>
                <c:pt idx="138">
                  <c:v>4.686956521739126E-2</c:v>
                </c:pt>
                <c:pt idx="139">
                  <c:v>4.6532374100719379E-2</c:v>
                </c:pt>
                <c:pt idx="140">
                  <c:v>4.6199999999999956E-2</c:v>
                </c:pt>
                <c:pt idx="141">
                  <c:v>4.5872340425531871E-2</c:v>
                </c:pt>
                <c:pt idx="142">
                  <c:v>4.5549295774647842E-2</c:v>
                </c:pt>
                <c:pt idx="143">
                  <c:v>4.5230769230769186E-2</c:v>
                </c:pt>
                <c:pt idx="144">
                  <c:v>4.4916666666666626E-2</c:v>
                </c:pt>
                <c:pt idx="145">
                  <c:v>4.4606896551724097E-2</c:v>
                </c:pt>
                <c:pt idx="146">
                  <c:v>4.4301369863013661E-2</c:v>
                </c:pt>
                <c:pt idx="147">
                  <c:v>4.3999999999999956E-2</c:v>
                </c:pt>
                <c:pt idx="148">
                  <c:v>4.3702702702702663E-2</c:v>
                </c:pt>
                <c:pt idx="149">
                  <c:v>4.3409395973154324E-2</c:v>
                </c:pt>
                <c:pt idx="150">
                  <c:v>4.3119999999999957E-2</c:v>
                </c:pt>
                <c:pt idx="151">
                  <c:v>4.2550765317310571E-2</c:v>
                </c:pt>
                <c:pt idx="152">
                  <c:v>4.1992728531855886E-2</c:v>
                </c:pt>
                <c:pt idx="153">
                  <c:v>4.144559784698186E-2</c:v>
                </c:pt>
                <c:pt idx="154">
                  <c:v>4.0909090909090839E-2</c:v>
                </c:pt>
                <c:pt idx="155">
                  <c:v>4.0382934443288179E-2</c:v>
                </c:pt>
                <c:pt idx="156">
                  <c:v>3.9866863905325373E-2</c:v>
                </c:pt>
                <c:pt idx="157">
                  <c:v>3.9360623149012064E-2</c:v>
                </c:pt>
                <c:pt idx="158">
                  <c:v>3.8863964108315906E-2</c:v>
                </c:pt>
                <c:pt idx="159">
                  <c:v>3.8376646493413963E-2</c:v>
                </c:pt>
                <c:pt idx="160">
                  <c:v>3.789843749999993E-2</c:v>
                </c:pt>
                <c:pt idx="161">
                  <c:v>3.7429111531190863E-2</c:v>
                </c:pt>
                <c:pt idx="162">
                  <c:v>3.6968449931412829E-2</c:v>
                </c:pt>
                <c:pt idx="163">
                  <c:v>3.6516240731679715E-2</c:v>
                </c:pt>
                <c:pt idx="164">
                  <c:v>3.6072278405710825E-2</c:v>
                </c:pt>
                <c:pt idx="165">
                  <c:v>3.5636363636363577E-2</c:v>
                </c:pt>
                <c:pt idx="166">
                  <c:v>3.5208303091885551E-2</c:v>
                </c:pt>
                <c:pt idx="167">
                  <c:v>3.4787909211517025E-2</c:v>
                </c:pt>
                <c:pt idx="168">
                  <c:v>3.437499999999994E-2</c:v>
                </c:pt>
                <c:pt idx="169">
                  <c:v>3.3969398830573101E-2</c:v>
                </c:pt>
                <c:pt idx="170">
                  <c:v>3.3570934256055306E-2</c:v>
                </c:pt>
                <c:pt idx="171">
                  <c:v>3.3179439827639212E-2</c:v>
                </c:pt>
                <c:pt idx="172">
                  <c:v>3.2794753921038339E-2</c:v>
                </c:pt>
                <c:pt idx="173">
                  <c:v>3.241671956964811E-2</c:v>
                </c:pt>
                <c:pt idx="174">
                  <c:v>3.2045184304399468E-2</c:v>
                </c:pt>
                <c:pt idx="175">
                  <c:v>3.1679999999999951E-2</c:v>
                </c:pt>
                <c:pt idx="176">
                  <c:v>3.132102272727267E-2</c:v>
                </c:pt>
                <c:pt idx="177">
                  <c:v>3.0968112611318533E-2</c:v>
                </c:pt>
                <c:pt idx="178">
                  <c:v>3.0621133695240447E-2</c:v>
                </c:pt>
                <c:pt idx="179">
                  <c:v>3.0279953809181935E-2</c:v>
                </c:pt>
                <c:pt idx="180">
                  <c:v>2.9944444444444392E-2</c:v>
                </c:pt>
                <c:pt idx="181">
                  <c:v>2.9614480632459278E-2</c:v>
                </c:pt>
                <c:pt idx="182">
                  <c:v>2.9289940828402316E-2</c:v>
                </c:pt>
                <c:pt idx="183">
                  <c:v>2.8970706799247462E-2</c:v>
                </c:pt>
                <c:pt idx="184">
                  <c:v>2.8656663516068003E-2</c:v>
                </c:pt>
                <c:pt idx="185">
                  <c:v>2.8347699050401704E-2</c:v>
                </c:pt>
                <c:pt idx="186">
                  <c:v>2.8043704474505673E-2</c:v>
                </c:pt>
                <c:pt idx="187">
                  <c:v>2.7744573765334964E-2</c:v>
                </c:pt>
                <c:pt idx="188">
                  <c:v>2.7450203712086868E-2</c:v>
                </c:pt>
                <c:pt idx="189">
                  <c:v>2.7160493827160445E-2</c:v>
                </c:pt>
                <c:pt idx="190">
                  <c:v>2.6875346260387765E-2</c:v>
                </c:pt>
                <c:pt idx="191">
                  <c:v>2.6594665716400272E-2</c:v>
                </c:pt>
                <c:pt idx="192">
                  <c:v>2.6318359374999954E-2</c:v>
                </c:pt>
                <c:pt idx="193">
                  <c:v>2.604633681441108E-2</c:v>
                </c:pt>
                <c:pt idx="194">
                  <c:v>2.5778509937294036E-2</c:v>
                </c:pt>
                <c:pt idx="195">
                  <c:v>2.551479289940824E-2</c:v>
                </c:pt>
                <c:pt idx="196">
                  <c:v>2.5255102040816282E-2</c:v>
                </c:pt>
                <c:pt idx="197">
                  <c:v>2.4999355819526354E-2</c:v>
                </c:pt>
                <c:pt idx="198">
                  <c:v>2.4747474747474706E-2</c:v>
                </c:pt>
                <c:pt idx="199">
                  <c:v>2.4499381328754281E-2</c:v>
                </c:pt>
                <c:pt idx="200">
                  <c:v>2.4254999999999964E-2</c:v>
                </c:pt>
                <c:pt idx="201">
                  <c:v>2.4014257072844703E-2</c:v>
                </c:pt>
                <c:pt idx="202">
                  <c:v>2.3777080678364839E-2</c:v>
                </c:pt>
                <c:pt idx="203">
                  <c:v>2.3543400713436368E-2</c:v>
                </c:pt>
                <c:pt idx="204">
                  <c:v>2.3313148788927322E-2</c:v>
                </c:pt>
                <c:pt idx="205">
                  <c:v>2.3086258179654956E-2</c:v>
                </c:pt>
                <c:pt idx="206">
                  <c:v>2.2862663776039207E-2</c:v>
                </c:pt>
                <c:pt idx="207">
                  <c:v>2.2642302037387103E-2</c:v>
                </c:pt>
                <c:pt idx="208">
                  <c:v>2.2425110946745565E-2</c:v>
                </c:pt>
                <c:pt idx="209">
                  <c:v>2.2211029967262663E-2</c:v>
                </c:pt>
                <c:pt idx="210">
                  <c:v>2.2000000000000013E-2</c:v>
                </c:pt>
                <c:pt idx="211">
                  <c:v>2.1791963343141457E-2</c:v>
                </c:pt>
                <c:pt idx="212">
                  <c:v>2.1586863652545411E-2</c:v>
                </c:pt>
                <c:pt idx="213">
                  <c:v>2.1384645903590582E-2</c:v>
                </c:pt>
                <c:pt idx="214">
                  <c:v>2.1185256354266775E-2</c:v>
                </c:pt>
                <c:pt idx="215">
                  <c:v>2.0988642509464611E-2</c:v>
                </c:pt>
                <c:pt idx="216">
                  <c:v>2.0794753086419791E-2</c:v>
                </c:pt>
                <c:pt idx="217">
                  <c:v>2.060353798126955E-2</c:v>
                </c:pt>
                <c:pt idx="218">
                  <c:v>2.0414948236680459E-2</c:v>
                </c:pt>
                <c:pt idx="219">
                  <c:v>2.0228936010508583E-2</c:v>
                </c:pt>
                <c:pt idx="220">
                  <c:v>2.0045454545454592E-2</c:v>
                </c:pt>
                <c:pt idx="221">
                  <c:v>1.9864458139677785E-2</c:v>
                </c:pt>
                <c:pt idx="222">
                  <c:v>1.9685902118334608E-2</c:v>
                </c:pt>
                <c:pt idx="223">
                  <c:v>1.9509742806008624E-2</c:v>
                </c:pt>
                <c:pt idx="224">
                  <c:v>1.9335937500000063E-2</c:v>
                </c:pt>
                <c:pt idx="225">
                  <c:v>1.9164444444444508E-2</c:v>
                </c:pt>
                <c:pt idx="226">
                  <c:v>1.8995222805231488E-2</c:v>
                </c:pt>
                <c:pt idx="227">
                  <c:v>1.8828232645694727E-2</c:v>
                </c:pt>
                <c:pt idx="228">
                  <c:v>1.8663434903047164E-2</c:v>
                </c:pt>
                <c:pt idx="229">
                  <c:v>1.8500791365534675E-2</c:v>
                </c:pt>
                <c:pt idx="230">
                  <c:v>1.8340264650283631E-2</c:v>
                </c:pt>
                <c:pt idx="231">
                  <c:v>1.8181818181818264E-2</c:v>
                </c:pt>
                <c:pt idx="232">
                  <c:v>1.8025416171224815E-2</c:v>
                </c:pt>
                <c:pt idx="233">
                  <c:v>1.7871023595940328E-2</c:v>
                </c:pt>
                <c:pt idx="234">
                  <c:v>1.7718606180144727E-2</c:v>
                </c:pt>
                <c:pt idx="235">
                  <c:v>1.7568130375735715E-2</c:v>
                </c:pt>
                <c:pt idx="236">
                  <c:v>1.7419563343866795E-2</c:v>
                </c:pt>
                <c:pt idx="237">
                  <c:v>1.7272872937029414E-2</c:v>
                </c:pt>
                <c:pt idx="238">
                  <c:v>1.7128027681660996E-2</c:v>
                </c:pt>
                <c:pt idx="239">
                  <c:v>1.6984996761261278E-2</c:v>
                </c:pt>
                <c:pt idx="240">
                  <c:v>1.6843750000000098E-2</c:v>
                </c:pt>
                <c:pt idx="241">
                  <c:v>1.6704257846800259E-2</c:v>
                </c:pt>
                <c:pt idx="242">
                  <c:v>1.6566491359879889E-2</c:v>
                </c:pt>
                <c:pt idx="243">
                  <c:v>1.6430422191739166E-2</c:v>
                </c:pt>
                <c:pt idx="244">
                  <c:v>1.6296022574576831E-2</c:v>
                </c:pt>
                <c:pt idx="245">
                  <c:v>1.6163265306122554E-2</c:v>
                </c:pt>
                <c:pt idx="246">
                  <c:v>1.6032123735871612E-2</c:v>
                </c:pt>
                <c:pt idx="247">
                  <c:v>1.5902571751708873E-2</c:v>
                </c:pt>
                <c:pt idx="248">
                  <c:v>1.5774583766909579E-2</c:v>
                </c:pt>
                <c:pt idx="249">
                  <c:v>1.564813470750483E-2</c:v>
                </c:pt>
                <c:pt idx="250">
                  <c:v>1.5523200000000112E-2</c:v>
                </c:pt>
                <c:pt idx="251">
                  <c:v>1.5399755559435678E-2</c:v>
                </c:pt>
                <c:pt idx="252">
                  <c:v>1.5277777777777894E-2</c:v>
                </c:pt>
                <c:pt idx="253">
                  <c:v>1.5157243512631154E-2</c:v>
                </c:pt>
                <c:pt idx="254">
                  <c:v>1.5038130076260269E-2</c:v>
                </c:pt>
                <c:pt idx="255">
                  <c:v>1.4920415224913613E-2</c:v>
                </c:pt>
                <c:pt idx="256">
                  <c:v>1.4804077148437619E-2</c:v>
                </c:pt>
                <c:pt idx="257">
                  <c:v>1.4689094460173628E-2</c:v>
                </c:pt>
                <c:pt idx="258">
                  <c:v>1.45754461871283E-2</c:v>
                </c:pt>
                <c:pt idx="259">
                  <c:v>1.4463111760409181E-2</c:v>
                </c:pt>
                <c:pt idx="260">
                  <c:v>1.4352071005917283E-2</c:v>
                </c:pt>
                <c:pt idx="261">
                  <c:v>1.4242304135288803E-2</c:v>
                </c:pt>
                <c:pt idx="262">
                  <c:v>1.4133791737078384E-2</c:v>
                </c:pt>
                <c:pt idx="263">
                  <c:v>1.4026514768176622E-2</c:v>
                </c:pt>
                <c:pt idx="264">
                  <c:v>1.3920454545454673E-2</c:v>
                </c:pt>
                <c:pt idx="265">
                  <c:v>1.3815592737629178E-2</c:v>
                </c:pt>
                <c:pt idx="266">
                  <c:v>1.371191135734085E-2</c:v>
                </c:pt>
                <c:pt idx="267">
                  <c:v>1.3609392753440351E-2</c:v>
                </c:pt>
                <c:pt idx="268">
                  <c:v>1.3508019603475292E-2</c:v>
                </c:pt>
                <c:pt idx="269">
                  <c:v>1.3407774906372348E-2</c:v>
                </c:pt>
                <c:pt idx="270">
                  <c:v>1.3308641975308774E-2</c:v>
                </c:pt>
                <c:pt idx="271">
                  <c:v>1.3210604430767686E-2</c:v>
                </c:pt>
                <c:pt idx="272">
                  <c:v>1.3113646193771759E-2</c:v>
                </c:pt>
                <c:pt idx="273">
                  <c:v>1.3017751479290074E-2</c:v>
                </c:pt>
                <c:pt idx="274">
                  <c:v>1.2922904789813124E-2</c:v>
                </c:pt>
                <c:pt idx="275">
                  <c:v>1.2829090909091043E-2</c:v>
                </c:pt>
                <c:pt idx="276">
                  <c:v>1.2736294896030381E-2</c:v>
                </c:pt>
                <c:pt idx="277">
                  <c:v>1.2644502078744808E-2</c:v>
                </c:pt>
                <c:pt idx="278">
                  <c:v>1.2553698048755375E-2</c:v>
                </c:pt>
                <c:pt idx="279">
                  <c:v>1.2463868655336012E-2</c:v>
                </c:pt>
                <c:pt idx="280">
                  <c:v>1.2375000000000136E-2</c:v>
                </c:pt>
                <c:pt idx="281">
                  <c:v>1.2287078431124362E-2</c:v>
                </c:pt>
                <c:pt idx="282">
                  <c:v>1.2200090538705433E-2</c:v>
                </c:pt>
                <c:pt idx="283">
                  <c:v>1.2114023149246599E-2</c:v>
                </c:pt>
                <c:pt idx="284">
                  <c:v>1.2028863320769826E-2</c:v>
                </c:pt>
                <c:pt idx="285">
                  <c:v>1.1944598337950276E-2</c:v>
                </c:pt>
                <c:pt idx="286">
                  <c:v>1.1861215707369692E-2</c:v>
                </c:pt>
                <c:pt idx="287">
                  <c:v>1.1778703152885327E-2</c:v>
                </c:pt>
                <c:pt idx="288">
                  <c:v>1.169704861111125E-2</c:v>
                </c:pt>
                <c:pt idx="289">
                  <c:v>1.1616240227008915E-2</c:v>
                </c:pt>
                <c:pt idx="290">
                  <c:v>1.1536266349583968E-2</c:v>
                </c:pt>
                <c:pt idx="291">
                  <c:v>1.1457115527686398E-2</c:v>
                </c:pt>
                <c:pt idx="292">
                  <c:v>1.1378776505911192E-2</c:v>
                </c:pt>
                <c:pt idx="293">
                  <c:v>1.130123822059677E-2</c:v>
                </c:pt>
                <c:pt idx="294">
                  <c:v>1.1224489795918509E-2</c:v>
                </c:pt>
                <c:pt idx="295">
                  <c:v>1.1148520540074832E-2</c:v>
                </c:pt>
                <c:pt idx="296">
                  <c:v>1.1073319941563327E-2</c:v>
                </c:pt>
                <c:pt idx="297">
                  <c:v>1.0998877665544474E-2</c:v>
                </c:pt>
                <c:pt idx="298">
                  <c:v>1.092518355029067E-2</c:v>
                </c:pt>
                <c:pt idx="299">
                  <c:v>1.085222760371822E-2</c:v>
                </c:pt>
                <c:pt idx="300">
                  <c:v>1.0780000000000142E-2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33B-40AA-BAB6-5F433711E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901312"/>
        <c:axId val="221901888"/>
      </c:scatterChart>
      <c:valAx>
        <c:axId val="221901312"/>
        <c:scaling>
          <c:orientation val="minMax"/>
          <c:max val="4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901888"/>
        <c:crosses val="autoZero"/>
        <c:crossBetween val="midCat"/>
      </c:valAx>
      <c:valAx>
        <c:axId val="221901888"/>
        <c:scaling>
          <c:orientation val="minMax"/>
          <c:max val="0.60000000000000009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Acceleration (S</a:t>
                </a:r>
                <a:r>
                  <a:rPr lang="en-US" altLang="ko-KR" baseline="-25000"/>
                  <a:t>a</a:t>
                </a:r>
                <a:r>
                  <a:rPr lang="en-US" altLang="ko-KR"/>
                  <a:t>, g)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901312"/>
        <c:crosses val="autoZero"/>
        <c:crossBetween val="midCat"/>
        <c:majorUnit val="0.1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032679302827376"/>
          <c:y val="0.13990030864197531"/>
          <c:w val="0.2267882480005729"/>
          <c:h val="0.14176111111111112"/>
        </c:manualLayout>
      </c:layout>
      <c:overlay val="0"/>
      <c:spPr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c:sp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altLang="ko-KR" sz="1100"/>
              <a:t>Standard Velocity Response</a:t>
            </a:r>
            <a:r>
              <a:rPr lang="en-US" altLang="ko-KR" sz="1100" baseline="0"/>
              <a:t> Spectrum</a:t>
            </a:r>
            <a:endParaRPr lang="ko-KR" altLang="en-US" sz="1100"/>
          </a:p>
        </c:rich>
      </c:tx>
      <c:layout>
        <c:manualLayout>
          <c:xMode val="edge"/>
          <c:yMode val="edge"/>
          <c:x val="0.34574800194654187"/>
          <c:y val="3.919753086419753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57023809523808"/>
          <c:y val="0.10008117283950617"/>
          <c:w val="0.80990714285714283"/>
          <c:h val="0.71860401234567906"/>
        </c:manualLayout>
      </c:layout>
      <c:scatterChart>
        <c:scatterStyle val="lineMarker"/>
        <c:varyColors val="0"/>
        <c:ser>
          <c:idx val="1"/>
          <c:order val="0"/>
          <c:tx>
            <c:v>기능수행수준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X)'!$D$3:$D$303</c:f>
              <c:numCache>
                <c:formatCode>0.0000_ </c:formatCode>
                <c:ptCount val="301"/>
                <c:pt idx="0">
                  <c:v>0</c:v>
                </c:pt>
                <c:pt idx="1">
                  <c:v>2.3858815150446639E-3</c:v>
                </c:pt>
                <c:pt idx="2">
                  <c:v>6.5611741663728256E-3</c:v>
                </c:pt>
                <c:pt idx="3">
                  <c:v>1.2525877953984483E-2</c:v>
                </c:pt>
                <c:pt idx="4">
                  <c:v>1.6701170605312649E-2</c:v>
                </c:pt>
                <c:pt idx="5">
                  <c:v>2.0876463256640804E-2</c:v>
                </c:pt>
                <c:pt idx="6">
                  <c:v>2.5051755907968969E-2</c:v>
                </c:pt>
                <c:pt idx="7">
                  <c:v>2.9227048559297131E-2</c:v>
                </c:pt>
                <c:pt idx="8">
                  <c:v>3.3402341210625297E-2</c:v>
                </c:pt>
                <c:pt idx="9">
                  <c:v>3.7577633861953445E-2</c:v>
                </c:pt>
                <c:pt idx="10">
                  <c:v>4.1752926513281607E-2</c:v>
                </c:pt>
                <c:pt idx="11">
                  <c:v>4.592821916460977E-2</c:v>
                </c:pt>
                <c:pt idx="12">
                  <c:v>5.0103511815937932E-2</c:v>
                </c:pt>
                <c:pt idx="13">
                  <c:v>5.4278804467266087E-2</c:v>
                </c:pt>
                <c:pt idx="14">
                  <c:v>5.8454097118594242E-2</c:v>
                </c:pt>
                <c:pt idx="15">
                  <c:v>6.2629389769922411E-2</c:v>
                </c:pt>
                <c:pt idx="16">
                  <c:v>6.2629389769922425E-2</c:v>
                </c:pt>
                <c:pt idx="17">
                  <c:v>6.2629389769922425E-2</c:v>
                </c:pt>
                <c:pt idx="18">
                  <c:v>6.2629389769922425E-2</c:v>
                </c:pt>
                <c:pt idx="19">
                  <c:v>6.2629389769922425E-2</c:v>
                </c:pt>
                <c:pt idx="20">
                  <c:v>6.2629389769922411E-2</c:v>
                </c:pt>
                <c:pt idx="21">
                  <c:v>6.2629389769922425E-2</c:v>
                </c:pt>
                <c:pt idx="22">
                  <c:v>6.2629389769922411E-2</c:v>
                </c:pt>
                <c:pt idx="23">
                  <c:v>6.2629389769922425E-2</c:v>
                </c:pt>
                <c:pt idx="24">
                  <c:v>6.2629389769922411E-2</c:v>
                </c:pt>
                <c:pt idx="25">
                  <c:v>6.2629389769922411E-2</c:v>
                </c:pt>
                <c:pt idx="26">
                  <c:v>6.2629389769922425E-2</c:v>
                </c:pt>
                <c:pt idx="27">
                  <c:v>6.2629389769922411E-2</c:v>
                </c:pt>
                <c:pt idx="28">
                  <c:v>6.2629389769922425E-2</c:v>
                </c:pt>
                <c:pt idx="29">
                  <c:v>6.2629389769922411E-2</c:v>
                </c:pt>
                <c:pt idx="30">
                  <c:v>6.2629389769922411E-2</c:v>
                </c:pt>
                <c:pt idx="31">
                  <c:v>6.2629389769922411E-2</c:v>
                </c:pt>
                <c:pt idx="32">
                  <c:v>6.2629389769922411E-2</c:v>
                </c:pt>
                <c:pt idx="33">
                  <c:v>6.2629389769922425E-2</c:v>
                </c:pt>
                <c:pt idx="34">
                  <c:v>6.2629389769922425E-2</c:v>
                </c:pt>
                <c:pt idx="35">
                  <c:v>6.2629389769922425E-2</c:v>
                </c:pt>
                <c:pt idx="36">
                  <c:v>6.2629389769922425E-2</c:v>
                </c:pt>
                <c:pt idx="37">
                  <c:v>6.2629389769922425E-2</c:v>
                </c:pt>
                <c:pt idx="38">
                  <c:v>6.2629389769922411E-2</c:v>
                </c:pt>
                <c:pt idx="39">
                  <c:v>6.2629389769922425E-2</c:v>
                </c:pt>
                <c:pt idx="40">
                  <c:v>6.2629389769922425E-2</c:v>
                </c:pt>
                <c:pt idx="41">
                  <c:v>6.2629389769922425E-2</c:v>
                </c:pt>
                <c:pt idx="42">
                  <c:v>6.2629389769922425E-2</c:v>
                </c:pt>
                <c:pt idx="43">
                  <c:v>6.2629389769922425E-2</c:v>
                </c:pt>
                <c:pt idx="44">
                  <c:v>6.2629389769922411E-2</c:v>
                </c:pt>
                <c:pt idx="45">
                  <c:v>6.2629389769922425E-2</c:v>
                </c:pt>
                <c:pt idx="46">
                  <c:v>6.2629389769922425E-2</c:v>
                </c:pt>
                <c:pt idx="47">
                  <c:v>6.2629389769922425E-2</c:v>
                </c:pt>
                <c:pt idx="48">
                  <c:v>6.2629389769922411E-2</c:v>
                </c:pt>
                <c:pt idx="49">
                  <c:v>6.2629389769922425E-2</c:v>
                </c:pt>
                <c:pt idx="50">
                  <c:v>6.2629389769922425E-2</c:v>
                </c:pt>
                <c:pt idx="51">
                  <c:v>6.2629389769922411E-2</c:v>
                </c:pt>
                <c:pt idx="52">
                  <c:v>6.2629389769922411E-2</c:v>
                </c:pt>
                <c:pt idx="53">
                  <c:v>6.2629389769922411E-2</c:v>
                </c:pt>
                <c:pt idx="54">
                  <c:v>6.2629389769922425E-2</c:v>
                </c:pt>
                <c:pt idx="55">
                  <c:v>6.2629389769922425E-2</c:v>
                </c:pt>
                <c:pt idx="56">
                  <c:v>6.2629389769922425E-2</c:v>
                </c:pt>
                <c:pt idx="57">
                  <c:v>6.2629389769922425E-2</c:v>
                </c:pt>
                <c:pt idx="58">
                  <c:v>6.2629389769922425E-2</c:v>
                </c:pt>
                <c:pt idx="59">
                  <c:v>6.2629389769922411E-2</c:v>
                </c:pt>
                <c:pt idx="60">
                  <c:v>6.2629389769922411E-2</c:v>
                </c:pt>
                <c:pt idx="61">
                  <c:v>6.2629389769922425E-2</c:v>
                </c:pt>
                <c:pt idx="62">
                  <c:v>6.2629389769922411E-2</c:v>
                </c:pt>
                <c:pt idx="63">
                  <c:v>6.2629389769922425E-2</c:v>
                </c:pt>
                <c:pt idx="64">
                  <c:v>6.2629389769922411E-2</c:v>
                </c:pt>
                <c:pt idx="65">
                  <c:v>6.2629389769922411E-2</c:v>
                </c:pt>
                <c:pt idx="66">
                  <c:v>6.2629389769922425E-2</c:v>
                </c:pt>
                <c:pt idx="67">
                  <c:v>6.2629389769922411E-2</c:v>
                </c:pt>
                <c:pt idx="68">
                  <c:v>6.2629389769922425E-2</c:v>
                </c:pt>
                <c:pt idx="69">
                  <c:v>6.2629389769922411E-2</c:v>
                </c:pt>
                <c:pt idx="70">
                  <c:v>6.2629389769922425E-2</c:v>
                </c:pt>
                <c:pt idx="71">
                  <c:v>6.2629389769922425E-2</c:v>
                </c:pt>
                <c:pt idx="72">
                  <c:v>6.2629389769922411E-2</c:v>
                </c:pt>
                <c:pt idx="73">
                  <c:v>6.2629389769922425E-2</c:v>
                </c:pt>
                <c:pt idx="74">
                  <c:v>6.2629389769922411E-2</c:v>
                </c:pt>
                <c:pt idx="75">
                  <c:v>6.2629389769922411E-2</c:v>
                </c:pt>
                <c:pt idx="76">
                  <c:v>6.2629389769922411E-2</c:v>
                </c:pt>
                <c:pt idx="77">
                  <c:v>6.2629389769922425E-2</c:v>
                </c:pt>
                <c:pt idx="78">
                  <c:v>6.2629389769922411E-2</c:v>
                </c:pt>
                <c:pt idx="79">
                  <c:v>6.2629389769922425E-2</c:v>
                </c:pt>
                <c:pt idx="80">
                  <c:v>6.2629389769922425E-2</c:v>
                </c:pt>
                <c:pt idx="81">
                  <c:v>6.2629389769922439E-2</c:v>
                </c:pt>
                <c:pt idx="82">
                  <c:v>6.2629389769922411E-2</c:v>
                </c:pt>
                <c:pt idx="83">
                  <c:v>6.2629389769922425E-2</c:v>
                </c:pt>
                <c:pt idx="84">
                  <c:v>6.2629389769922411E-2</c:v>
                </c:pt>
                <c:pt idx="85">
                  <c:v>6.2629389769922425E-2</c:v>
                </c:pt>
                <c:pt idx="86">
                  <c:v>6.2629389769922425E-2</c:v>
                </c:pt>
                <c:pt idx="87">
                  <c:v>6.2629389769922411E-2</c:v>
                </c:pt>
                <c:pt idx="88">
                  <c:v>6.2629389769922425E-2</c:v>
                </c:pt>
                <c:pt idx="89">
                  <c:v>6.2629389769922439E-2</c:v>
                </c:pt>
                <c:pt idx="90">
                  <c:v>6.2629389769922411E-2</c:v>
                </c:pt>
                <c:pt idx="91">
                  <c:v>6.2629389769922411E-2</c:v>
                </c:pt>
                <c:pt idx="92">
                  <c:v>6.2629389769922439E-2</c:v>
                </c:pt>
                <c:pt idx="93">
                  <c:v>6.2629389769922411E-2</c:v>
                </c:pt>
                <c:pt idx="94">
                  <c:v>6.2629389769922425E-2</c:v>
                </c:pt>
                <c:pt idx="95">
                  <c:v>6.2629389769922425E-2</c:v>
                </c:pt>
                <c:pt idx="96">
                  <c:v>6.2629389769922425E-2</c:v>
                </c:pt>
                <c:pt idx="97">
                  <c:v>6.2629389769922425E-2</c:v>
                </c:pt>
                <c:pt idx="98">
                  <c:v>6.2629389769922411E-2</c:v>
                </c:pt>
                <c:pt idx="99">
                  <c:v>6.2629389769922411E-2</c:v>
                </c:pt>
                <c:pt idx="100">
                  <c:v>6.2629389769922439E-2</c:v>
                </c:pt>
                <c:pt idx="101">
                  <c:v>6.2629389769922411E-2</c:v>
                </c:pt>
                <c:pt idx="102">
                  <c:v>6.2629389769922411E-2</c:v>
                </c:pt>
                <c:pt idx="103">
                  <c:v>6.2629389769922425E-2</c:v>
                </c:pt>
                <c:pt idx="104">
                  <c:v>6.2629389769922425E-2</c:v>
                </c:pt>
                <c:pt idx="105">
                  <c:v>6.2629389769922425E-2</c:v>
                </c:pt>
                <c:pt idx="106">
                  <c:v>6.2629389769922425E-2</c:v>
                </c:pt>
                <c:pt idx="107">
                  <c:v>6.2629389769922425E-2</c:v>
                </c:pt>
                <c:pt idx="108">
                  <c:v>6.2629389769922425E-2</c:v>
                </c:pt>
                <c:pt idx="109">
                  <c:v>6.2629389769922411E-2</c:v>
                </c:pt>
                <c:pt idx="110">
                  <c:v>6.2629389769922425E-2</c:v>
                </c:pt>
                <c:pt idx="111">
                  <c:v>6.2629389769922425E-2</c:v>
                </c:pt>
                <c:pt idx="112">
                  <c:v>6.2629389769922411E-2</c:v>
                </c:pt>
                <c:pt idx="113">
                  <c:v>6.2629389769922425E-2</c:v>
                </c:pt>
                <c:pt idx="114">
                  <c:v>6.2629389769922425E-2</c:v>
                </c:pt>
                <c:pt idx="115">
                  <c:v>6.2629389769922411E-2</c:v>
                </c:pt>
                <c:pt idx="116">
                  <c:v>6.2629389769922425E-2</c:v>
                </c:pt>
                <c:pt idx="117">
                  <c:v>6.2629389769922425E-2</c:v>
                </c:pt>
                <c:pt idx="118">
                  <c:v>6.2629389769922411E-2</c:v>
                </c:pt>
                <c:pt idx="119">
                  <c:v>6.2629389769922425E-2</c:v>
                </c:pt>
                <c:pt idx="120">
                  <c:v>6.2629389769922425E-2</c:v>
                </c:pt>
                <c:pt idx="121">
                  <c:v>6.2629389769922411E-2</c:v>
                </c:pt>
                <c:pt idx="122">
                  <c:v>6.2629389769922425E-2</c:v>
                </c:pt>
                <c:pt idx="123">
                  <c:v>6.2629389769922411E-2</c:v>
                </c:pt>
                <c:pt idx="124">
                  <c:v>6.2629389769922411E-2</c:v>
                </c:pt>
                <c:pt idx="125">
                  <c:v>6.2629389769922425E-2</c:v>
                </c:pt>
                <c:pt idx="126">
                  <c:v>6.2629389769922425E-2</c:v>
                </c:pt>
                <c:pt idx="127">
                  <c:v>6.2629389769922425E-2</c:v>
                </c:pt>
                <c:pt idx="128">
                  <c:v>6.2629389769922425E-2</c:v>
                </c:pt>
                <c:pt idx="129">
                  <c:v>6.2629389769922425E-2</c:v>
                </c:pt>
                <c:pt idx="130">
                  <c:v>6.2629389769922411E-2</c:v>
                </c:pt>
                <c:pt idx="131">
                  <c:v>6.2629389769922425E-2</c:v>
                </c:pt>
                <c:pt idx="132">
                  <c:v>6.2629389769922425E-2</c:v>
                </c:pt>
                <c:pt idx="133">
                  <c:v>6.2629389769922425E-2</c:v>
                </c:pt>
                <c:pt idx="134">
                  <c:v>6.2629389769922411E-2</c:v>
                </c:pt>
                <c:pt idx="135">
                  <c:v>6.2629389769922411E-2</c:v>
                </c:pt>
                <c:pt idx="136">
                  <c:v>6.2629389769922425E-2</c:v>
                </c:pt>
                <c:pt idx="137">
                  <c:v>6.2629389769922425E-2</c:v>
                </c:pt>
                <c:pt idx="138">
                  <c:v>6.2629389769922411E-2</c:v>
                </c:pt>
                <c:pt idx="139">
                  <c:v>6.2629389769922411E-2</c:v>
                </c:pt>
                <c:pt idx="140">
                  <c:v>6.2629389769922411E-2</c:v>
                </c:pt>
                <c:pt idx="141">
                  <c:v>6.2629389769922425E-2</c:v>
                </c:pt>
                <c:pt idx="142">
                  <c:v>6.2629389769922425E-2</c:v>
                </c:pt>
                <c:pt idx="143">
                  <c:v>6.2629389769922439E-2</c:v>
                </c:pt>
                <c:pt idx="144">
                  <c:v>6.2629389769922425E-2</c:v>
                </c:pt>
                <c:pt idx="145">
                  <c:v>6.2629389769922411E-2</c:v>
                </c:pt>
                <c:pt idx="146">
                  <c:v>6.2629389769922425E-2</c:v>
                </c:pt>
                <c:pt idx="147">
                  <c:v>6.2629389769922425E-2</c:v>
                </c:pt>
                <c:pt idx="148">
                  <c:v>6.2629389769922425E-2</c:v>
                </c:pt>
                <c:pt idx="149">
                  <c:v>6.2629389769922425E-2</c:v>
                </c:pt>
                <c:pt idx="150">
                  <c:v>6.2629389769922439E-2</c:v>
                </c:pt>
                <c:pt idx="151">
                  <c:v>6.221462559926063E-2</c:v>
                </c:pt>
                <c:pt idx="152">
                  <c:v>6.1805318851897086E-2</c:v>
                </c:pt>
                <c:pt idx="153">
                  <c:v>6.1401362519531752E-2</c:v>
                </c:pt>
                <c:pt idx="154">
                  <c:v>6.1002652373301006E-2</c:v>
                </c:pt>
                <c:pt idx="155">
                  <c:v>6.0609086874118423E-2</c:v>
                </c:pt>
                <c:pt idx="156">
                  <c:v>6.0220567086463811E-2</c:v>
                </c:pt>
                <c:pt idx="157">
                  <c:v>5.9836996595467241E-2</c:v>
                </c:pt>
                <c:pt idx="158">
                  <c:v>5.9458281427141484E-2</c:v>
                </c:pt>
                <c:pt idx="159">
                  <c:v>5.9084329971624883E-2</c:v>
                </c:pt>
                <c:pt idx="160">
                  <c:v>5.8715052909302227E-2</c:v>
                </c:pt>
                <c:pt idx="161">
                  <c:v>5.8350363139679236E-2</c:v>
                </c:pt>
                <c:pt idx="162">
                  <c:v>5.7990175712891077E-2</c:v>
                </c:pt>
                <c:pt idx="163">
                  <c:v>5.7634407763732236E-2</c:v>
                </c:pt>
                <c:pt idx="164">
                  <c:v>5.7282978448099729E-2</c:v>
                </c:pt>
                <c:pt idx="165">
                  <c:v>5.693580888174761E-2</c:v>
                </c:pt>
                <c:pt idx="166">
                  <c:v>5.6592822081255156E-2</c:v>
                </c:pt>
                <c:pt idx="167">
                  <c:v>5.6253942907115904E-2</c:v>
                </c:pt>
                <c:pt idx="168">
                  <c:v>5.5919098008859268E-2</c:v>
                </c:pt>
                <c:pt idx="169">
                  <c:v>5.5588215772120447E-2</c:v>
                </c:pt>
                <c:pt idx="170">
                  <c:v>5.5261226267578574E-2</c:v>
                </c:pt>
                <c:pt idx="171">
                  <c:v>5.4938061201686296E-2</c:v>
                </c:pt>
                <c:pt idx="172">
                  <c:v>5.461865386911835E-2</c:v>
                </c:pt>
                <c:pt idx="173">
                  <c:v>5.4302939106869112E-2</c:v>
                </c:pt>
                <c:pt idx="174">
                  <c:v>5.3990853249933093E-2</c:v>
                </c:pt>
                <c:pt idx="175">
                  <c:v>5.3682334088504882E-2</c:v>
                </c:pt>
                <c:pt idx="176">
                  <c:v>5.3377320826638389E-2</c:v>
                </c:pt>
                <c:pt idx="177">
                  <c:v>5.3075754042307098E-2</c:v>
                </c:pt>
                <c:pt idx="178">
                  <c:v>5.2777575648810991E-2</c:v>
                </c:pt>
                <c:pt idx="179">
                  <c:v>5.2482728857476853E-2</c:v>
                </c:pt>
                <c:pt idx="180">
                  <c:v>5.2191158141601975E-2</c:v>
                </c:pt>
                <c:pt idx="181">
                  <c:v>5.1902809201593118E-2</c:v>
                </c:pt>
                <c:pt idx="182">
                  <c:v>5.1617628931254704E-2</c:v>
                </c:pt>
                <c:pt idx="183">
                  <c:v>5.1335565385182275E-2</c:v>
                </c:pt>
                <c:pt idx="184">
                  <c:v>5.1056567747219332E-2</c:v>
                </c:pt>
                <c:pt idx="185">
                  <c:v>5.0780586299937057E-2</c:v>
                </c:pt>
                <c:pt idx="186">
                  <c:v>5.050757239509869E-2</c:v>
                </c:pt>
                <c:pt idx="187">
                  <c:v>5.0237478425071418E-2</c:v>
                </c:pt>
                <c:pt idx="188">
                  <c:v>4.9970257795150831E-2</c:v>
                </c:pt>
                <c:pt idx="189">
                  <c:v>4.9705864896763784E-2</c:v>
                </c:pt>
                <c:pt idx="190">
                  <c:v>4.9444255081517667E-2</c:v>
                </c:pt>
                <c:pt idx="191">
                  <c:v>4.9185384636064686E-2</c:v>
                </c:pt>
                <c:pt idx="192">
                  <c:v>4.8929210757751862E-2</c:v>
                </c:pt>
                <c:pt idx="193">
                  <c:v>4.8675691531027757E-2</c:v>
                </c:pt>
                <c:pt idx="194">
                  <c:v>4.8424785904579146E-2</c:v>
                </c:pt>
                <c:pt idx="195">
                  <c:v>4.817645366917106E-2</c:v>
                </c:pt>
                <c:pt idx="196">
                  <c:v>4.7930655436165079E-2</c:v>
                </c:pt>
                <c:pt idx="197">
                  <c:v>4.7687352616692158E-2</c:v>
                </c:pt>
                <c:pt idx="198">
                  <c:v>4.744650740145636E-2</c:v>
                </c:pt>
                <c:pt idx="199">
                  <c:v>4.7208082741147524E-2</c:v>
                </c:pt>
                <c:pt idx="200">
                  <c:v>4.6972042327441781E-2</c:v>
                </c:pt>
                <c:pt idx="201">
                  <c:v>4.6738350574568946E-2</c:v>
                </c:pt>
                <c:pt idx="202">
                  <c:v>4.6506972601427526E-2</c:v>
                </c:pt>
                <c:pt idx="203">
                  <c:v>4.6277874214228382E-2</c:v>
                </c:pt>
                <c:pt idx="204">
                  <c:v>4.6051021889648831E-2</c:v>
                </c:pt>
                <c:pt idx="205">
                  <c:v>4.5826382758479813E-2</c:v>
                </c:pt>
                <c:pt idx="206">
                  <c:v>4.5603924589749344E-2</c:v>
                </c:pt>
                <c:pt idx="207">
                  <c:v>4.5383615775306106E-2</c:v>
                </c:pt>
                <c:pt idx="208">
                  <c:v>4.5165425314847907E-2</c:v>
                </c:pt>
                <c:pt idx="209">
                  <c:v>4.494932280137974E-2</c:v>
                </c:pt>
                <c:pt idx="210">
                  <c:v>4.4735278407087464E-2</c:v>
                </c:pt>
                <c:pt idx="211">
                  <c:v>4.4523262869613119E-2</c:v>
                </c:pt>
                <c:pt idx="212">
                  <c:v>4.4313247478718731E-2</c:v>
                </c:pt>
                <c:pt idx="213">
                  <c:v>4.410520406332568E-2</c:v>
                </c:pt>
                <c:pt idx="214">
                  <c:v>4.3899104978917615E-2</c:v>
                </c:pt>
                <c:pt idx="215">
                  <c:v>4.3694923095294755E-2</c:v>
                </c:pt>
                <c:pt idx="216">
                  <c:v>4.3492631784668397E-2</c:v>
                </c:pt>
                <c:pt idx="217">
                  <c:v>4.3292204910084668E-2</c:v>
                </c:pt>
                <c:pt idx="218">
                  <c:v>4.3093616814166853E-2</c:v>
                </c:pt>
                <c:pt idx="219">
                  <c:v>4.2896842308166094E-2</c:v>
                </c:pt>
                <c:pt idx="220">
                  <c:v>4.2701856661310801E-2</c:v>
                </c:pt>
                <c:pt idx="221">
                  <c:v>4.250863559044514E-2</c:v>
                </c:pt>
                <c:pt idx="222">
                  <c:v>4.2317155249947648E-2</c:v>
                </c:pt>
                <c:pt idx="223">
                  <c:v>4.2127392221920974E-2</c:v>
                </c:pt>
                <c:pt idx="224">
                  <c:v>4.1939323506644546E-2</c:v>
                </c:pt>
                <c:pt idx="225">
                  <c:v>4.1752926513281684E-2</c:v>
                </c:pt>
                <c:pt idx="226">
                  <c:v>4.1568179050833542E-2</c:v>
                </c:pt>
                <c:pt idx="227">
                  <c:v>4.1385059319332076E-2</c:v>
                </c:pt>
                <c:pt idx="228">
                  <c:v>4.1203545901264835E-2</c:v>
                </c:pt>
                <c:pt idx="229">
                  <c:v>4.1023617753224384E-2</c:v>
                </c:pt>
                <c:pt idx="230">
                  <c:v>4.0845254197775578E-2</c:v>
                </c:pt>
                <c:pt idx="231">
                  <c:v>4.0668434915534138E-2</c:v>
                </c:pt>
                <c:pt idx="232">
                  <c:v>4.0493139937449935E-2</c:v>
                </c:pt>
                <c:pt idx="233">
                  <c:v>4.0319349637289205E-2</c:v>
                </c:pt>
                <c:pt idx="234">
                  <c:v>4.0147044724309341E-2</c:v>
                </c:pt>
                <c:pt idx="235">
                  <c:v>3.9976206236120797E-2</c:v>
                </c:pt>
                <c:pt idx="236">
                  <c:v>3.9806815531730461E-2</c:v>
                </c:pt>
                <c:pt idx="237">
                  <c:v>3.9638854284761139E-2</c:v>
                </c:pt>
                <c:pt idx="238">
                  <c:v>3.9472304476841982E-2</c:v>
                </c:pt>
                <c:pt idx="239">
                  <c:v>3.9307148391164816E-2</c:v>
                </c:pt>
                <c:pt idx="240">
                  <c:v>3.9143368606201635E-2</c:v>
                </c:pt>
                <c:pt idx="241">
                  <c:v>3.8980947989578393E-2</c:v>
                </c:pt>
                <c:pt idx="242">
                  <c:v>3.8819869692100793E-2</c:v>
                </c:pt>
                <c:pt idx="243">
                  <c:v>3.866011714192754E-2</c:v>
                </c:pt>
                <c:pt idx="244">
                  <c:v>3.8501674038886866E-2</c:v>
                </c:pt>
                <c:pt idx="245">
                  <c:v>3.8344524348932221E-2</c:v>
                </c:pt>
                <c:pt idx="246">
                  <c:v>3.8188652298733312E-2</c:v>
                </c:pt>
                <c:pt idx="247">
                  <c:v>3.8034042370398369E-2</c:v>
                </c:pt>
                <c:pt idx="248">
                  <c:v>3.7880679296324174E-2</c:v>
                </c:pt>
                <c:pt idx="249">
                  <c:v>3.7728548054170266E-2</c:v>
                </c:pt>
                <c:pt idx="250">
                  <c:v>3.7577633861953591E-2</c:v>
                </c:pt>
                <c:pt idx="251">
                  <c:v>3.7427922173260554E-2</c:v>
                </c:pt>
                <c:pt idx="252">
                  <c:v>3.7279398672573016E-2</c:v>
                </c:pt>
                <c:pt idx="253">
                  <c:v>3.7132049270705139E-2</c:v>
                </c:pt>
                <c:pt idx="254">
                  <c:v>3.6985860100348038E-2</c:v>
                </c:pt>
                <c:pt idx="255">
                  <c:v>3.684081751171922E-2</c:v>
                </c:pt>
                <c:pt idx="256">
                  <c:v>3.669690806831407E-2</c:v>
                </c:pt>
                <c:pt idx="257">
                  <c:v>3.6554118542756434E-2</c:v>
                </c:pt>
                <c:pt idx="258">
                  <c:v>3.6412435912745747E-2</c:v>
                </c:pt>
                <c:pt idx="259">
                  <c:v>3.627184735709809E-2</c:v>
                </c:pt>
                <c:pt idx="260">
                  <c:v>3.6132340251878482E-2</c:v>
                </c:pt>
                <c:pt idx="261">
                  <c:v>3.5993902166622238E-2</c:v>
                </c:pt>
                <c:pt idx="262">
                  <c:v>3.5856520860642775E-2</c:v>
                </c:pt>
                <c:pt idx="263">
                  <c:v>3.5720184279423604E-2</c:v>
                </c:pt>
                <c:pt idx="264">
                  <c:v>3.5584880551092449E-2</c:v>
                </c:pt>
                <c:pt idx="265">
                  <c:v>3.5450597982975125E-2</c:v>
                </c:pt>
                <c:pt idx="266">
                  <c:v>3.53173250582271E-2</c:v>
                </c:pt>
                <c:pt idx="267">
                  <c:v>3.518505043254086E-2</c:v>
                </c:pt>
                <c:pt idx="268">
                  <c:v>3.50537629309269E-2</c:v>
                </c:pt>
                <c:pt idx="269">
                  <c:v>3.4923451544566581E-2</c:v>
                </c:pt>
                <c:pt idx="270">
                  <c:v>3.479410542773486E-2</c:v>
                </c:pt>
                <c:pt idx="271">
                  <c:v>3.4665713894791186E-2</c:v>
                </c:pt>
                <c:pt idx="272">
                  <c:v>3.4538266417236813E-2</c:v>
                </c:pt>
                <c:pt idx="273">
                  <c:v>3.4411752620836678E-2</c:v>
                </c:pt>
                <c:pt idx="274">
                  <c:v>3.4286162282804428E-2</c:v>
                </c:pt>
                <c:pt idx="275">
                  <c:v>3.416148532904878E-2</c:v>
                </c:pt>
                <c:pt idx="276">
                  <c:v>3.4037711831479765E-2</c:v>
                </c:pt>
                <c:pt idx="277">
                  <c:v>3.391483200537334E-2</c:v>
                </c:pt>
                <c:pt idx="278">
                  <c:v>3.3792836206792853E-2</c:v>
                </c:pt>
                <c:pt idx="279">
                  <c:v>3.3671714930066002E-2</c:v>
                </c:pt>
                <c:pt idx="280">
                  <c:v>3.3551458805315772E-2</c:v>
                </c:pt>
                <c:pt idx="281">
                  <c:v>3.343205859604418E-2</c:v>
                </c:pt>
                <c:pt idx="282">
                  <c:v>3.3313505196767443E-2</c:v>
                </c:pt>
                <c:pt idx="283">
                  <c:v>3.319578963070112E-2</c:v>
                </c:pt>
                <c:pt idx="284">
                  <c:v>3.3078903047494439E-2</c:v>
                </c:pt>
                <c:pt idx="285">
                  <c:v>3.2962836721011995E-2</c:v>
                </c:pt>
                <c:pt idx="286">
                  <c:v>3.2847582047162302E-2</c:v>
                </c:pt>
                <c:pt idx="287">
                  <c:v>3.2733130541771502E-2</c:v>
                </c:pt>
                <c:pt idx="288">
                  <c:v>3.2619473838501452E-2</c:v>
                </c:pt>
                <c:pt idx="289">
                  <c:v>3.2506603686811145E-2</c:v>
                </c:pt>
                <c:pt idx="290">
                  <c:v>3.2394511949960077E-2</c:v>
                </c:pt>
                <c:pt idx="291">
                  <c:v>3.2283190603053E-2</c:v>
                </c:pt>
                <c:pt idx="292">
                  <c:v>3.217263173112473E-2</c:v>
                </c:pt>
                <c:pt idx="293">
                  <c:v>3.2062827527264248E-2</c:v>
                </c:pt>
                <c:pt idx="294">
                  <c:v>3.1953770290776957E-2</c:v>
                </c:pt>
                <c:pt idx="295">
                  <c:v>3.1845452425384481E-2</c:v>
                </c:pt>
                <c:pt idx="296">
                  <c:v>3.1737866437460897E-2</c:v>
                </c:pt>
                <c:pt idx="297">
                  <c:v>3.1631004934304471E-2</c:v>
                </c:pt>
                <c:pt idx="298">
                  <c:v>3.1524860622444383E-2</c:v>
                </c:pt>
                <c:pt idx="299">
                  <c:v>3.1419426305981359E-2</c:v>
                </c:pt>
                <c:pt idx="300">
                  <c:v>3.1314694884961421E-2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12D-46F2-B1D6-24DEDE4222DF}"/>
            </c:ext>
          </c:extLst>
        </c:ser>
        <c:ser>
          <c:idx val="0"/>
          <c:order val="1"/>
          <c:tx>
            <c:v>붕괴방지수준</c:v>
          </c:tx>
          <c:spPr>
            <a:ln w="15875">
              <a:solidFill>
                <a:schemeClr val="tx1">
                  <a:lumMod val="75000"/>
                  <a:lumOff val="25000"/>
                </a:schemeClr>
              </a:solidFill>
            </a:ln>
          </c:spPr>
          <c:marker>
            <c:symbol val="none"/>
          </c:marker>
          <c:xVal>
            <c:numRef>
              <c:f>'설계응답스펙트럼(출력 X)'!$F$3:$F$303</c:f>
              <c:numCache>
                <c:formatCode>0.0000_ </c:formatCode>
                <c:ptCount val="3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>
                  <c:v>2.0200000000000014</c:v>
                </c:pt>
                <c:pt idx="102">
                  <c:v>2.0400000000000014</c:v>
                </c:pt>
                <c:pt idx="103">
                  <c:v>2.0600000000000014</c:v>
                </c:pt>
                <c:pt idx="104">
                  <c:v>2.0800000000000014</c:v>
                </c:pt>
                <c:pt idx="105">
                  <c:v>2.1000000000000014</c:v>
                </c:pt>
                <c:pt idx="106">
                  <c:v>2.1200000000000014</c:v>
                </c:pt>
                <c:pt idx="107">
                  <c:v>2.1400000000000015</c:v>
                </c:pt>
                <c:pt idx="108">
                  <c:v>2.1600000000000015</c:v>
                </c:pt>
                <c:pt idx="109">
                  <c:v>2.1800000000000015</c:v>
                </c:pt>
                <c:pt idx="110">
                  <c:v>2.2000000000000015</c:v>
                </c:pt>
                <c:pt idx="111">
                  <c:v>2.2200000000000015</c:v>
                </c:pt>
                <c:pt idx="112">
                  <c:v>2.2400000000000015</c:v>
                </c:pt>
                <c:pt idx="113">
                  <c:v>2.2600000000000016</c:v>
                </c:pt>
                <c:pt idx="114">
                  <c:v>2.2800000000000016</c:v>
                </c:pt>
                <c:pt idx="115">
                  <c:v>2.3000000000000016</c:v>
                </c:pt>
                <c:pt idx="116">
                  <c:v>2.3200000000000016</c:v>
                </c:pt>
                <c:pt idx="117">
                  <c:v>2.3400000000000016</c:v>
                </c:pt>
                <c:pt idx="118">
                  <c:v>2.3600000000000017</c:v>
                </c:pt>
                <c:pt idx="119">
                  <c:v>2.3800000000000017</c:v>
                </c:pt>
                <c:pt idx="120">
                  <c:v>2.4000000000000017</c:v>
                </c:pt>
                <c:pt idx="121">
                  <c:v>2.4200000000000017</c:v>
                </c:pt>
                <c:pt idx="122">
                  <c:v>2.4400000000000017</c:v>
                </c:pt>
                <c:pt idx="123">
                  <c:v>2.4600000000000017</c:v>
                </c:pt>
                <c:pt idx="124">
                  <c:v>2.4800000000000018</c:v>
                </c:pt>
                <c:pt idx="125">
                  <c:v>2.5000000000000018</c:v>
                </c:pt>
                <c:pt idx="126">
                  <c:v>2.5200000000000018</c:v>
                </c:pt>
                <c:pt idx="127">
                  <c:v>2.5400000000000018</c:v>
                </c:pt>
                <c:pt idx="128">
                  <c:v>2.5600000000000018</c:v>
                </c:pt>
                <c:pt idx="129">
                  <c:v>2.5800000000000018</c:v>
                </c:pt>
                <c:pt idx="130">
                  <c:v>2.6000000000000019</c:v>
                </c:pt>
                <c:pt idx="131">
                  <c:v>2.6200000000000019</c:v>
                </c:pt>
                <c:pt idx="132">
                  <c:v>2.6400000000000019</c:v>
                </c:pt>
                <c:pt idx="133">
                  <c:v>2.6600000000000019</c:v>
                </c:pt>
                <c:pt idx="134">
                  <c:v>2.6800000000000019</c:v>
                </c:pt>
                <c:pt idx="135">
                  <c:v>2.700000000000002</c:v>
                </c:pt>
                <c:pt idx="136">
                  <c:v>2.720000000000002</c:v>
                </c:pt>
                <c:pt idx="137">
                  <c:v>2.740000000000002</c:v>
                </c:pt>
                <c:pt idx="138">
                  <c:v>2.760000000000002</c:v>
                </c:pt>
                <c:pt idx="139">
                  <c:v>2.780000000000002</c:v>
                </c:pt>
                <c:pt idx="140">
                  <c:v>2.800000000000002</c:v>
                </c:pt>
                <c:pt idx="141">
                  <c:v>2.8200000000000021</c:v>
                </c:pt>
                <c:pt idx="142">
                  <c:v>2.8400000000000021</c:v>
                </c:pt>
                <c:pt idx="143">
                  <c:v>2.8600000000000021</c:v>
                </c:pt>
                <c:pt idx="144">
                  <c:v>2.8800000000000021</c:v>
                </c:pt>
                <c:pt idx="145">
                  <c:v>2.9000000000000021</c:v>
                </c:pt>
                <c:pt idx="146">
                  <c:v>2.9200000000000021</c:v>
                </c:pt>
                <c:pt idx="147">
                  <c:v>2.9400000000000022</c:v>
                </c:pt>
                <c:pt idx="148">
                  <c:v>2.9600000000000022</c:v>
                </c:pt>
                <c:pt idx="149">
                  <c:v>2.9800000000000022</c:v>
                </c:pt>
                <c:pt idx="150">
                  <c:v>3.0000000000000022</c:v>
                </c:pt>
                <c:pt idx="151">
                  <c:v>3.0200000000000022</c:v>
                </c:pt>
                <c:pt idx="152">
                  <c:v>3.0400000000000023</c:v>
                </c:pt>
                <c:pt idx="153">
                  <c:v>3.0600000000000023</c:v>
                </c:pt>
                <c:pt idx="154">
                  <c:v>3.0800000000000023</c:v>
                </c:pt>
                <c:pt idx="155">
                  <c:v>3.1000000000000023</c:v>
                </c:pt>
                <c:pt idx="156">
                  <c:v>3.1200000000000023</c:v>
                </c:pt>
                <c:pt idx="157">
                  <c:v>3.1400000000000023</c:v>
                </c:pt>
                <c:pt idx="158">
                  <c:v>3.1600000000000024</c:v>
                </c:pt>
                <c:pt idx="159">
                  <c:v>3.1800000000000024</c:v>
                </c:pt>
                <c:pt idx="160">
                  <c:v>3.2000000000000024</c:v>
                </c:pt>
                <c:pt idx="161">
                  <c:v>3.2200000000000024</c:v>
                </c:pt>
                <c:pt idx="162">
                  <c:v>3.2400000000000024</c:v>
                </c:pt>
                <c:pt idx="163">
                  <c:v>3.2600000000000025</c:v>
                </c:pt>
                <c:pt idx="164">
                  <c:v>3.2800000000000025</c:v>
                </c:pt>
                <c:pt idx="165">
                  <c:v>3.3000000000000025</c:v>
                </c:pt>
                <c:pt idx="166">
                  <c:v>3.3200000000000025</c:v>
                </c:pt>
                <c:pt idx="167">
                  <c:v>3.3400000000000025</c:v>
                </c:pt>
                <c:pt idx="168">
                  <c:v>3.3600000000000025</c:v>
                </c:pt>
                <c:pt idx="169">
                  <c:v>3.3800000000000026</c:v>
                </c:pt>
                <c:pt idx="170">
                  <c:v>3.4000000000000026</c:v>
                </c:pt>
                <c:pt idx="171">
                  <c:v>3.4200000000000026</c:v>
                </c:pt>
                <c:pt idx="172">
                  <c:v>3.4400000000000026</c:v>
                </c:pt>
                <c:pt idx="173">
                  <c:v>3.4600000000000026</c:v>
                </c:pt>
                <c:pt idx="174">
                  <c:v>3.4800000000000026</c:v>
                </c:pt>
                <c:pt idx="175">
                  <c:v>3.5000000000000027</c:v>
                </c:pt>
                <c:pt idx="176">
                  <c:v>3.5200000000000027</c:v>
                </c:pt>
                <c:pt idx="177">
                  <c:v>3.5400000000000027</c:v>
                </c:pt>
                <c:pt idx="178">
                  <c:v>3.5600000000000027</c:v>
                </c:pt>
                <c:pt idx="179">
                  <c:v>3.5800000000000027</c:v>
                </c:pt>
                <c:pt idx="180">
                  <c:v>3.6000000000000028</c:v>
                </c:pt>
                <c:pt idx="181">
                  <c:v>3.6200000000000028</c:v>
                </c:pt>
                <c:pt idx="182">
                  <c:v>3.6400000000000028</c:v>
                </c:pt>
                <c:pt idx="183">
                  <c:v>3.6600000000000028</c:v>
                </c:pt>
                <c:pt idx="184">
                  <c:v>3.6800000000000028</c:v>
                </c:pt>
                <c:pt idx="185">
                  <c:v>3.7000000000000028</c:v>
                </c:pt>
                <c:pt idx="186">
                  <c:v>3.7200000000000029</c:v>
                </c:pt>
                <c:pt idx="187">
                  <c:v>3.7400000000000029</c:v>
                </c:pt>
                <c:pt idx="188">
                  <c:v>3.7600000000000029</c:v>
                </c:pt>
                <c:pt idx="189">
                  <c:v>3.7800000000000029</c:v>
                </c:pt>
                <c:pt idx="190">
                  <c:v>3.8000000000000029</c:v>
                </c:pt>
                <c:pt idx="191">
                  <c:v>3.8200000000000029</c:v>
                </c:pt>
                <c:pt idx="192">
                  <c:v>3.840000000000003</c:v>
                </c:pt>
                <c:pt idx="193">
                  <c:v>3.860000000000003</c:v>
                </c:pt>
                <c:pt idx="194">
                  <c:v>3.880000000000003</c:v>
                </c:pt>
                <c:pt idx="195">
                  <c:v>3.900000000000003</c:v>
                </c:pt>
                <c:pt idx="196">
                  <c:v>3.920000000000003</c:v>
                </c:pt>
                <c:pt idx="197">
                  <c:v>3.9400000000000031</c:v>
                </c:pt>
                <c:pt idx="198">
                  <c:v>3.9600000000000031</c:v>
                </c:pt>
                <c:pt idx="199">
                  <c:v>3.9800000000000031</c:v>
                </c:pt>
                <c:pt idx="200">
                  <c:v>4.0000000000000027</c:v>
                </c:pt>
                <c:pt idx="201">
                  <c:v>4.0200000000000022</c:v>
                </c:pt>
                <c:pt idx="202">
                  <c:v>4.0400000000000018</c:v>
                </c:pt>
                <c:pt idx="203">
                  <c:v>4.0600000000000014</c:v>
                </c:pt>
                <c:pt idx="204">
                  <c:v>4.080000000000001</c:v>
                </c:pt>
                <c:pt idx="205">
                  <c:v>4.1000000000000005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4.1599999999999993</c:v>
                </c:pt>
                <c:pt idx="209">
                  <c:v>4.1799999999999988</c:v>
                </c:pt>
                <c:pt idx="210">
                  <c:v>4.1999999999999984</c:v>
                </c:pt>
                <c:pt idx="211">
                  <c:v>4.219999999999998</c:v>
                </c:pt>
                <c:pt idx="212">
                  <c:v>4.2399999999999975</c:v>
                </c:pt>
                <c:pt idx="213">
                  <c:v>4.2599999999999971</c:v>
                </c:pt>
                <c:pt idx="214">
                  <c:v>4.2799999999999967</c:v>
                </c:pt>
                <c:pt idx="215">
                  <c:v>4.2999999999999963</c:v>
                </c:pt>
                <c:pt idx="216">
                  <c:v>4.3199999999999958</c:v>
                </c:pt>
                <c:pt idx="217">
                  <c:v>4.3399999999999954</c:v>
                </c:pt>
                <c:pt idx="218">
                  <c:v>4.359999999999995</c:v>
                </c:pt>
                <c:pt idx="219">
                  <c:v>4.3799999999999946</c:v>
                </c:pt>
                <c:pt idx="220">
                  <c:v>4.3999999999999941</c:v>
                </c:pt>
                <c:pt idx="221">
                  <c:v>4.4199999999999937</c:v>
                </c:pt>
                <c:pt idx="222">
                  <c:v>4.4399999999999933</c:v>
                </c:pt>
                <c:pt idx="223">
                  <c:v>4.4599999999999929</c:v>
                </c:pt>
                <c:pt idx="224">
                  <c:v>4.4799999999999924</c:v>
                </c:pt>
                <c:pt idx="225">
                  <c:v>4.499999999999992</c:v>
                </c:pt>
                <c:pt idx="226">
                  <c:v>4.5199999999999916</c:v>
                </c:pt>
                <c:pt idx="227">
                  <c:v>4.5399999999999912</c:v>
                </c:pt>
                <c:pt idx="228">
                  <c:v>4.5599999999999907</c:v>
                </c:pt>
                <c:pt idx="229">
                  <c:v>4.5799999999999903</c:v>
                </c:pt>
                <c:pt idx="230">
                  <c:v>4.5999999999999899</c:v>
                </c:pt>
                <c:pt idx="231">
                  <c:v>4.6199999999999894</c:v>
                </c:pt>
                <c:pt idx="232">
                  <c:v>4.639999999999989</c:v>
                </c:pt>
                <c:pt idx="233">
                  <c:v>4.6599999999999886</c:v>
                </c:pt>
                <c:pt idx="234">
                  <c:v>4.6799999999999882</c:v>
                </c:pt>
                <c:pt idx="235">
                  <c:v>4.6999999999999877</c:v>
                </c:pt>
                <c:pt idx="236">
                  <c:v>4.7199999999999873</c:v>
                </c:pt>
                <c:pt idx="237">
                  <c:v>4.7399999999999869</c:v>
                </c:pt>
                <c:pt idx="238">
                  <c:v>4.7599999999999865</c:v>
                </c:pt>
                <c:pt idx="239">
                  <c:v>4.779999999999986</c:v>
                </c:pt>
                <c:pt idx="240">
                  <c:v>4.7999999999999856</c:v>
                </c:pt>
                <c:pt idx="241">
                  <c:v>4.8199999999999852</c:v>
                </c:pt>
                <c:pt idx="242">
                  <c:v>4.8399999999999848</c:v>
                </c:pt>
                <c:pt idx="243">
                  <c:v>4.8599999999999843</c:v>
                </c:pt>
                <c:pt idx="244">
                  <c:v>4.8799999999999839</c:v>
                </c:pt>
                <c:pt idx="245">
                  <c:v>4.8999999999999835</c:v>
                </c:pt>
                <c:pt idx="246">
                  <c:v>4.9199999999999831</c:v>
                </c:pt>
                <c:pt idx="247">
                  <c:v>4.9399999999999826</c:v>
                </c:pt>
                <c:pt idx="248">
                  <c:v>4.9599999999999822</c:v>
                </c:pt>
                <c:pt idx="249">
                  <c:v>4.9799999999999818</c:v>
                </c:pt>
                <c:pt idx="250">
                  <c:v>4.9999999999999813</c:v>
                </c:pt>
                <c:pt idx="251">
                  <c:v>5.0199999999999809</c:v>
                </c:pt>
                <c:pt idx="252">
                  <c:v>5.0399999999999805</c:v>
                </c:pt>
                <c:pt idx="253">
                  <c:v>5.0599999999999801</c:v>
                </c:pt>
                <c:pt idx="254">
                  <c:v>5.0799999999999796</c:v>
                </c:pt>
                <c:pt idx="255">
                  <c:v>5.0999999999999792</c:v>
                </c:pt>
                <c:pt idx="256">
                  <c:v>5.1199999999999788</c:v>
                </c:pt>
                <c:pt idx="257">
                  <c:v>5.1399999999999784</c:v>
                </c:pt>
                <c:pt idx="258">
                  <c:v>5.1599999999999779</c:v>
                </c:pt>
                <c:pt idx="259">
                  <c:v>5.1799999999999775</c:v>
                </c:pt>
                <c:pt idx="260">
                  <c:v>5.1999999999999771</c:v>
                </c:pt>
                <c:pt idx="261">
                  <c:v>5.2199999999999767</c:v>
                </c:pt>
                <c:pt idx="262">
                  <c:v>5.2399999999999762</c:v>
                </c:pt>
                <c:pt idx="263">
                  <c:v>5.2599999999999758</c:v>
                </c:pt>
                <c:pt idx="264">
                  <c:v>5.2799999999999754</c:v>
                </c:pt>
                <c:pt idx="265">
                  <c:v>5.299999999999975</c:v>
                </c:pt>
                <c:pt idx="266">
                  <c:v>5.3199999999999745</c:v>
                </c:pt>
                <c:pt idx="267">
                  <c:v>5.3399999999999741</c:v>
                </c:pt>
                <c:pt idx="268">
                  <c:v>5.3599999999999737</c:v>
                </c:pt>
                <c:pt idx="269">
                  <c:v>5.3799999999999732</c:v>
                </c:pt>
                <c:pt idx="270">
                  <c:v>5.3999999999999728</c:v>
                </c:pt>
                <c:pt idx="271">
                  <c:v>5.4199999999999724</c:v>
                </c:pt>
                <c:pt idx="272">
                  <c:v>5.439999999999972</c:v>
                </c:pt>
                <c:pt idx="273">
                  <c:v>5.4599999999999715</c:v>
                </c:pt>
                <c:pt idx="274">
                  <c:v>5.4799999999999711</c:v>
                </c:pt>
                <c:pt idx="275">
                  <c:v>5.4999999999999707</c:v>
                </c:pt>
                <c:pt idx="276">
                  <c:v>5.5199999999999703</c:v>
                </c:pt>
                <c:pt idx="277">
                  <c:v>5.5399999999999698</c:v>
                </c:pt>
                <c:pt idx="278">
                  <c:v>5.5599999999999694</c:v>
                </c:pt>
                <c:pt idx="279">
                  <c:v>5.579999999999969</c:v>
                </c:pt>
                <c:pt idx="280">
                  <c:v>5.5999999999999686</c:v>
                </c:pt>
                <c:pt idx="281">
                  <c:v>5.6199999999999681</c:v>
                </c:pt>
                <c:pt idx="282">
                  <c:v>5.6399999999999677</c:v>
                </c:pt>
                <c:pt idx="283">
                  <c:v>5.6599999999999673</c:v>
                </c:pt>
                <c:pt idx="284">
                  <c:v>5.6799999999999669</c:v>
                </c:pt>
                <c:pt idx="285">
                  <c:v>5.6999999999999664</c:v>
                </c:pt>
                <c:pt idx="286">
                  <c:v>5.719999999999966</c:v>
                </c:pt>
                <c:pt idx="287">
                  <c:v>5.7399999999999656</c:v>
                </c:pt>
                <c:pt idx="288">
                  <c:v>5.7599999999999651</c:v>
                </c:pt>
                <c:pt idx="289">
                  <c:v>5.7799999999999647</c:v>
                </c:pt>
                <c:pt idx="290">
                  <c:v>5.7999999999999643</c:v>
                </c:pt>
                <c:pt idx="291">
                  <c:v>5.8199999999999639</c:v>
                </c:pt>
                <c:pt idx="292">
                  <c:v>5.8399999999999634</c:v>
                </c:pt>
                <c:pt idx="293">
                  <c:v>5.859999999999963</c:v>
                </c:pt>
                <c:pt idx="294">
                  <c:v>5.8799999999999626</c:v>
                </c:pt>
                <c:pt idx="295">
                  <c:v>5.8999999999999622</c:v>
                </c:pt>
                <c:pt idx="296">
                  <c:v>5.9199999999999617</c:v>
                </c:pt>
                <c:pt idx="297">
                  <c:v>5.9399999999999613</c:v>
                </c:pt>
                <c:pt idx="298">
                  <c:v>5.9599999999999609</c:v>
                </c:pt>
                <c:pt idx="299">
                  <c:v>5.9799999999999605</c:v>
                </c:pt>
                <c:pt idx="300">
                  <c:v>5.99999999999996</c:v>
                </c:pt>
              </c:numCache>
            </c:numRef>
          </c:xVal>
          <c:yVal>
            <c:numRef>
              <c:f>'설계응답스펙트럼(출력 X)'!$H$3:$H$303</c:f>
              <c:numCache>
                <c:formatCode>0.0000_ </c:formatCode>
                <c:ptCount val="301"/>
                <c:pt idx="0">
                  <c:v>0</c:v>
                </c:pt>
                <c:pt idx="1">
                  <c:v>4.3164100936208217E-3</c:v>
                </c:pt>
                <c:pt idx="2">
                  <c:v>1.187012775745726E-2</c:v>
                </c:pt>
                <c:pt idx="3">
                  <c:v>2.2661152991509309E-2</c:v>
                </c:pt>
                <c:pt idx="4">
                  <c:v>3.0214870655345744E-2</c:v>
                </c:pt>
                <c:pt idx="5">
                  <c:v>3.7768588319182179E-2</c:v>
                </c:pt>
                <c:pt idx="6">
                  <c:v>4.5322305983018618E-2</c:v>
                </c:pt>
                <c:pt idx="7">
                  <c:v>5.2876023646855064E-2</c:v>
                </c:pt>
                <c:pt idx="8">
                  <c:v>6.0429741310691489E-2</c:v>
                </c:pt>
                <c:pt idx="9">
                  <c:v>6.7983458974527913E-2</c:v>
                </c:pt>
                <c:pt idx="10">
                  <c:v>7.5537176638364359E-2</c:v>
                </c:pt>
                <c:pt idx="11">
                  <c:v>8.3090894302200791E-2</c:v>
                </c:pt>
                <c:pt idx="12">
                  <c:v>9.0644611966037222E-2</c:v>
                </c:pt>
                <c:pt idx="13">
                  <c:v>9.819832962987364E-2</c:v>
                </c:pt>
                <c:pt idx="14">
                  <c:v>0.10575204729371009</c:v>
                </c:pt>
                <c:pt idx="15">
                  <c:v>0.11330576495754652</c:v>
                </c:pt>
                <c:pt idx="16">
                  <c:v>0.11330576495754652</c:v>
                </c:pt>
                <c:pt idx="17">
                  <c:v>0.11330576495754652</c:v>
                </c:pt>
                <c:pt idx="18">
                  <c:v>0.11330576495754652</c:v>
                </c:pt>
                <c:pt idx="19">
                  <c:v>0.11330576495754653</c:v>
                </c:pt>
                <c:pt idx="20">
                  <c:v>0.1133057649575465</c:v>
                </c:pt>
                <c:pt idx="21">
                  <c:v>0.11330576495754653</c:v>
                </c:pt>
                <c:pt idx="22">
                  <c:v>0.11330576495754653</c:v>
                </c:pt>
                <c:pt idx="23">
                  <c:v>0.11330576495754653</c:v>
                </c:pt>
                <c:pt idx="24">
                  <c:v>0.1133057649575465</c:v>
                </c:pt>
                <c:pt idx="25">
                  <c:v>0.11330576495754653</c:v>
                </c:pt>
                <c:pt idx="26">
                  <c:v>0.11330576495754652</c:v>
                </c:pt>
                <c:pt idx="27">
                  <c:v>0.11330576495754652</c:v>
                </c:pt>
                <c:pt idx="28">
                  <c:v>0.11330576495754652</c:v>
                </c:pt>
                <c:pt idx="29">
                  <c:v>0.11330576495754652</c:v>
                </c:pt>
                <c:pt idx="30">
                  <c:v>0.11330576495754652</c:v>
                </c:pt>
                <c:pt idx="31">
                  <c:v>0.11330576495754652</c:v>
                </c:pt>
                <c:pt idx="32">
                  <c:v>0.11330576495754652</c:v>
                </c:pt>
                <c:pt idx="33">
                  <c:v>0.11330576495754653</c:v>
                </c:pt>
                <c:pt idx="34">
                  <c:v>0.11330576495754652</c:v>
                </c:pt>
                <c:pt idx="35">
                  <c:v>0.11330576495754652</c:v>
                </c:pt>
                <c:pt idx="36">
                  <c:v>0.11330576495754652</c:v>
                </c:pt>
                <c:pt idx="37">
                  <c:v>0.11330576495754653</c:v>
                </c:pt>
                <c:pt idx="38">
                  <c:v>0.11330576495754652</c:v>
                </c:pt>
                <c:pt idx="39">
                  <c:v>0.11330576495754652</c:v>
                </c:pt>
                <c:pt idx="40">
                  <c:v>0.11330576495754652</c:v>
                </c:pt>
                <c:pt idx="41">
                  <c:v>0.11330576495754653</c:v>
                </c:pt>
                <c:pt idx="42">
                  <c:v>0.11330576495754652</c:v>
                </c:pt>
                <c:pt idx="43">
                  <c:v>0.11330576495754652</c:v>
                </c:pt>
                <c:pt idx="44">
                  <c:v>0.11330576495754652</c:v>
                </c:pt>
                <c:pt idx="45">
                  <c:v>0.11330576495754653</c:v>
                </c:pt>
                <c:pt idx="46">
                  <c:v>0.11330576495754653</c:v>
                </c:pt>
                <c:pt idx="47">
                  <c:v>0.11330576495754652</c:v>
                </c:pt>
                <c:pt idx="48">
                  <c:v>0.1133057649575465</c:v>
                </c:pt>
                <c:pt idx="49">
                  <c:v>0.11330576495754652</c:v>
                </c:pt>
                <c:pt idx="50">
                  <c:v>0.1133057649575465</c:v>
                </c:pt>
                <c:pt idx="51">
                  <c:v>0.11330576495754652</c:v>
                </c:pt>
                <c:pt idx="52">
                  <c:v>0.11330576495754652</c:v>
                </c:pt>
                <c:pt idx="53">
                  <c:v>0.11330576495754653</c:v>
                </c:pt>
                <c:pt idx="54">
                  <c:v>0.11330576495754653</c:v>
                </c:pt>
                <c:pt idx="55">
                  <c:v>0.11330576495754653</c:v>
                </c:pt>
                <c:pt idx="56">
                  <c:v>0.11330576495754652</c:v>
                </c:pt>
                <c:pt idx="57">
                  <c:v>0.11330576495754653</c:v>
                </c:pt>
                <c:pt idx="58">
                  <c:v>0.11330576495754653</c:v>
                </c:pt>
                <c:pt idx="59">
                  <c:v>0.11330576495754652</c:v>
                </c:pt>
                <c:pt idx="60">
                  <c:v>0.11330576495754652</c:v>
                </c:pt>
                <c:pt idx="61">
                  <c:v>0.1133057649575465</c:v>
                </c:pt>
                <c:pt idx="62">
                  <c:v>0.11330576495754652</c:v>
                </c:pt>
                <c:pt idx="63">
                  <c:v>0.1133057649575465</c:v>
                </c:pt>
                <c:pt idx="64">
                  <c:v>0.11330576495754653</c:v>
                </c:pt>
                <c:pt idx="65">
                  <c:v>0.11330576495754652</c:v>
                </c:pt>
                <c:pt idx="66">
                  <c:v>0.11330576495754652</c:v>
                </c:pt>
                <c:pt idx="67">
                  <c:v>0.11330576495754652</c:v>
                </c:pt>
                <c:pt idx="68">
                  <c:v>0.11330576495754652</c:v>
                </c:pt>
                <c:pt idx="69">
                  <c:v>0.11330576495754652</c:v>
                </c:pt>
                <c:pt idx="70">
                  <c:v>0.11330576495754652</c:v>
                </c:pt>
                <c:pt idx="71">
                  <c:v>0.11330576495754652</c:v>
                </c:pt>
                <c:pt idx="72">
                  <c:v>0.11330576495754653</c:v>
                </c:pt>
                <c:pt idx="73">
                  <c:v>0.11330576495754653</c:v>
                </c:pt>
                <c:pt idx="74">
                  <c:v>0.11330576495754653</c:v>
                </c:pt>
                <c:pt idx="75">
                  <c:v>0.11330576495754652</c:v>
                </c:pt>
                <c:pt idx="76">
                  <c:v>0.11330576495754652</c:v>
                </c:pt>
                <c:pt idx="77">
                  <c:v>0.11330576495754653</c:v>
                </c:pt>
                <c:pt idx="78">
                  <c:v>0.11330576495754652</c:v>
                </c:pt>
                <c:pt idx="79">
                  <c:v>0.11330576495754652</c:v>
                </c:pt>
                <c:pt idx="80">
                  <c:v>0.11330576495754653</c:v>
                </c:pt>
                <c:pt idx="81">
                  <c:v>0.11330576495754653</c:v>
                </c:pt>
                <c:pt idx="82">
                  <c:v>0.11330576495754652</c:v>
                </c:pt>
                <c:pt idx="83">
                  <c:v>0.11330576495754652</c:v>
                </c:pt>
                <c:pt idx="84">
                  <c:v>0.11330576495754652</c:v>
                </c:pt>
                <c:pt idx="85">
                  <c:v>0.11330576495754652</c:v>
                </c:pt>
                <c:pt idx="86">
                  <c:v>0.11330576495754652</c:v>
                </c:pt>
                <c:pt idx="87">
                  <c:v>0.11330576495754652</c:v>
                </c:pt>
                <c:pt idx="88">
                  <c:v>0.11330576495754652</c:v>
                </c:pt>
                <c:pt idx="89">
                  <c:v>0.11330576495754653</c:v>
                </c:pt>
                <c:pt idx="90">
                  <c:v>0.11330576495754652</c:v>
                </c:pt>
                <c:pt idx="91">
                  <c:v>0.11330576495754653</c:v>
                </c:pt>
                <c:pt idx="92">
                  <c:v>0.11330576495754653</c:v>
                </c:pt>
                <c:pt idx="93">
                  <c:v>0.11330576495754652</c:v>
                </c:pt>
                <c:pt idx="94">
                  <c:v>0.11330576495754653</c:v>
                </c:pt>
                <c:pt idx="95">
                  <c:v>0.11330576495754652</c:v>
                </c:pt>
                <c:pt idx="96">
                  <c:v>0.11330576495754653</c:v>
                </c:pt>
                <c:pt idx="97">
                  <c:v>0.11330576495754653</c:v>
                </c:pt>
                <c:pt idx="98">
                  <c:v>0.11330576495754652</c:v>
                </c:pt>
                <c:pt idx="99">
                  <c:v>0.1133057649575465</c:v>
                </c:pt>
                <c:pt idx="100">
                  <c:v>0.11330576495754653</c:v>
                </c:pt>
                <c:pt idx="101">
                  <c:v>0.11330576495754652</c:v>
                </c:pt>
                <c:pt idx="102">
                  <c:v>0.11330576495754652</c:v>
                </c:pt>
                <c:pt idx="103">
                  <c:v>0.11330576495754652</c:v>
                </c:pt>
                <c:pt idx="104">
                  <c:v>0.11330576495754652</c:v>
                </c:pt>
                <c:pt idx="105">
                  <c:v>0.11330576495754652</c:v>
                </c:pt>
                <c:pt idx="106">
                  <c:v>0.11330576495754656</c:v>
                </c:pt>
                <c:pt idx="107">
                  <c:v>0.11330576495754652</c:v>
                </c:pt>
                <c:pt idx="108">
                  <c:v>0.11330576495754653</c:v>
                </c:pt>
                <c:pt idx="109">
                  <c:v>0.11330576495754652</c:v>
                </c:pt>
                <c:pt idx="110">
                  <c:v>0.11330576495754653</c:v>
                </c:pt>
                <c:pt idx="111">
                  <c:v>0.11330576495754653</c:v>
                </c:pt>
                <c:pt idx="112">
                  <c:v>0.11330576495754652</c:v>
                </c:pt>
                <c:pt idx="113">
                  <c:v>0.11330576495754652</c:v>
                </c:pt>
                <c:pt idx="114">
                  <c:v>0.11330576495754652</c:v>
                </c:pt>
                <c:pt idx="115">
                  <c:v>0.1133057649575465</c:v>
                </c:pt>
                <c:pt idx="116">
                  <c:v>0.11330576495754652</c:v>
                </c:pt>
                <c:pt idx="117">
                  <c:v>0.11330576495754656</c:v>
                </c:pt>
                <c:pt idx="118">
                  <c:v>0.11330576495754652</c:v>
                </c:pt>
                <c:pt idx="119">
                  <c:v>0.11330576495754652</c:v>
                </c:pt>
                <c:pt idx="120">
                  <c:v>0.11330576495754652</c:v>
                </c:pt>
                <c:pt idx="121">
                  <c:v>0.11330576495754652</c:v>
                </c:pt>
                <c:pt idx="122">
                  <c:v>0.11330576495754656</c:v>
                </c:pt>
                <c:pt idx="123">
                  <c:v>0.1133057649575465</c:v>
                </c:pt>
                <c:pt idx="124">
                  <c:v>0.11330576495754653</c:v>
                </c:pt>
                <c:pt idx="125">
                  <c:v>0.11330576495754653</c:v>
                </c:pt>
                <c:pt idx="126">
                  <c:v>0.11330576495754652</c:v>
                </c:pt>
                <c:pt idx="127">
                  <c:v>0.11330576495754652</c:v>
                </c:pt>
                <c:pt idx="128">
                  <c:v>0.11330576495754652</c:v>
                </c:pt>
                <c:pt idx="129">
                  <c:v>0.11330576495754652</c:v>
                </c:pt>
                <c:pt idx="130">
                  <c:v>0.11330576495754652</c:v>
                </c:pt>
                <c:pt idx="131">
                  <c:v>0.11330576495754653</c:v>
                </c:pt>
                <c:pt idx="132">
                  <c:v>0.11330576495754652</c:v>
                </c:pt>
                <c:pt idx="133">
                  <c:v>0.11330576495754653</c:v>
                </c:pt>
                <c:pt idx="134">
                  <c:v>0.11330576495754652</c:v>
                </c:pt>
                <c:pt idx="135">
                  <c:v>0.1133057649575465</c:v>
                </c:pt>
                <c:pt idx="136">
                  <c:v>0.11330576495754653</c:v>
                </c:pt>
                <c:pt idx="137">
                  <c:v>0.1133057649575465</c:v>
                </c:pt>
                <c:pt idx="138">
                  <c:v>0.11330576495754652</c:v>
                </c:pt>
                <c:pt idx="139">
                  <c:v>0.11330576495754652</c:v>
                </c:pt>
                <c:pt idx="140">
                  <c:v>0.1133057649575465</c:v>
                </c:pt>
                <c:pt idx="141">
                  <c:v>0.11330576495754652</c:v>
                </c:pt>
                <c:pt idx="142">
                  <c:v>0.11330576495754652</c:v>
                </c:pt>
                <c:pt idx="143">
                  <c:v>0.11330576495754652</c:v>
                </c:pt>
                <c:pt idx="144">
                  <c:v>0.11330576495754652</c:v>
                </c:pt>
                <c:pt idx="145">
                  <c:v>0.11330576495754652</c:v>
                </c:pt>
                <c:pt idx="146">
                  <c:v>0.11330576495754652</c:v>
                </c:pt>
                <c:pt idx="147">
                  <c:v>0.11330576495754652</c:v>
                </c:pt>
                <c:pt idx="148">
                  <c:v>0.11330576495754652</c:v>
                </c:pt>
                <c:pt idx="149">
                  <c:v>0.11330576495754653</c:v>
                </c:pt>
                <c:pt idx="150">
                  <c:v>0.11330576495754652</c:v>
                </c:pt>
                <c:pt idx="151">
                  <c:v>0.11255539565319181</c:v>
                </c:pt>
                <c:pt idx="152">
                  <c:v>0.11181489962915768</c:v>
                </c:pt>
                <c:pt idx="153">
                  <c:v>0.11108408329171221</c:v>
                </c:pt>
                <c:pt idx="154">
                  <c:v>0.11036275807553224</c:v>
                </c:pt>
                <c:pt idx="155">
                  <c:v>0.10965074028149659</c:v>
                </c:pt>
                <c:pt idx="156">
                  <c:v>0.10894785092071774</c:v>
                </c:pt>
                <c:pt idx="157">
                  <c:v>0.10825391556453483</c:v>
                </c:pt>
                <c:pt idx="158">
                  <c:v>0.10756876420020232</c:v>
                </c:pt>
                <c:pt idx="159">
                  <c:v>0.10689223109202493</c:v>
                </c:pt>
                <c:pt idx="160">
                  <c:v>0.10622415464769978</c:v>
                </c:pt>
                <c:pt idx="161">
                  <c:v>0.10556437728963955</c:v>
                </c:pt>
                <c:pt idx="162">
                  <c:v>0.10491274533106151</c:v>
                </c:pt>
                <c:pt idx="163">
                  <c:v>0.10426910885663782</c:v>
                </c:pt>
                <c:pt idx="164">
                  <c:v>0.10363332160751199</c:v>
                </c:pt>
                <c:pt idx="165">
                  <c:v>0.10300524087049677</c:v>
                </c:pt>
                <c:pt idx="166">
                  <c:v>0.10238472737127688</c:v>
                </c:pt>
                <c:pt idx="167">
                  <c:v>0.1017716451714489</c:v>
                </c:pt>
                <c:pt idx="168">
                  <c:v>0.10116586156923789</c:v>
                </c:pt>
                <c:pt idx="169">
                  <c:v>0.10056724700373942</c:v>
                </c:pt>
                <c:pt idx="170">
                  <c:v>9.9975674962540978E-2</c:v>
                </c:pt>
                <c:pt idx="171">
                  <c:v>9.9391021892584586E-2</c:v>
                </c:pt>
                <c:pt idx="172">
                  <c:v>9.881316711413933E-2</c:v>
                </c:pt>
                <c:pt idx="173">
                  <c:v>9.8241992737757036E-2</c:v>
                </c:pt>
                <c:pt idx="174">
                  <c:v>9.7677383584091754E-2</c:v>
                </c:pt>
                <c:pt idx="175">
                  <c:v>9.7119227106468378E-2</c:v>
                </c:pt>
                <c:pt idx="176">
                  <c:v>9.65674133160907E-2</c:v>
                </c:pt>
                <c:pt idx="177">
                  <c:v>9.602183470978512E-2</c:v>
                </c:pt>
                <c:pt idx="178">
                  <c:v>9.548238620017957E-2</c:v>
                </c:pt>
                <c:pt idx="179">
                  <c:v>9.4948965048223297E-2</c:v>
                </c:pt>
                <c:pt idx="180">
                  <c:v>9.4421470797955362E-2</c:v>
                </c:pt>
                <c:pt idx="181">
                  <c:v>9.3899805213436272E-2</c:v>
                </c:pt>
                <c:pt idx="182">
                  <c:v>9.3383872217758068E-2</c:v>
                </c:pt>
                <c:pt idx="183">
                  <c:v>9.2873577834054449E-2</c:v>
                </c:pt>
                <c:pt idx="184">
                  <c:v>9.2368830128434595E-2</c:v>
                </c:pt>
                <c:pt idx="185">
                  <c:v>9.1869539154767393E-2</c:v>
                </c:pt>
                <c:pt idx="186">
                  <c:v>9.1375616901247125E-2</c:v>
                </c:pt>
                <c:pt idx="187">
                  <c:v>9.0886977238673616E-2</c:v>
                </c:pt>
                <c:pt idx="188">
                  <c:v>9.0403535870382787E-2</c:v>
                </c:pt>
                <c:pt idx="189">
                  <c:v>8.9925210283767015E-2</c:v>
                </c:pt>
                <c:pt idx="190">
                  <c:v>8.9451919703326124E-2</c:v>
                </c:pt>
                <c:pt idx="191">
                  <c:v>8.8983585045193547E-2</c:v>
                </c:pt>
                <c:pt idx="192">
                  <c:v>8.8520128873083165E-2</c:v>
                </c:pt>
                <c:pt idx="193">
                  <c:v>8.8061475355606031E-2</c:v>
                </c:pt>
                <c:pt idx="194">
                  <c:v>8.760755022490703E-2</c:v>
                </c:pt>
                <c:pt idx="195">
                  <c:v>8.7158280736574195E-2</c:v>
                </c:pt>
                <c:pt idx="196">
                  <c:v>8.6713595630775339E-2</c:v>
                </c:pt>
                <c:pt idx="197">
                  <c:v>8.6273425094578499E-2</c:v>
                </c:pt>
                <c:pt idx="198">
                  <c:v>8.5837700725413968E-2</c:v>
                </c:pt>
                <c:pt idx="199">
                  <c:v>8.540635549563802E-2</c:v>
                </c:pt>
                <c:pt idx="200">
                  <c:v>8.4979323718159847E-2</c:v>
                </c:pt>
                <c:pt idx="201">
                  <c:v>8.4556541013094372E-2</c:v>
                </c:pt>
                <c:pt idx="202">
                  <c:v>8.4137944275405788E-2</c:v>
                </c:pt>
                <c:pt idx="203">
                  <c:v>8.3723471643507283E-2</c:v>
                </c:pt>
                <c:pt idx="204">
                  <c:v>8.3313062468784199E-2</c:v>
                </c:pt>
                <c:pt idx="205">
                  <c:v>8.2906657286009641E-2</c:v>
                </c:pt>
                <c:pt idx="206">
                  <c:v>8.2504197784621258E-2</c:v>
                </c:pt>
                <c:pt idx="207">
                  <c:v>8.2105626780830818E-2</c:v>
                </c:pt>
                <c:pt idx="208">
                  <c:v>8.1710888190538358E-2</c:v>
                </c:pt>
                <c:pt idx="209">
                  <c:v>8.1319927003023845E-2</c:v>
                </c:pt>
                <c:pt idx="210">
                  <c:v>8.0932689255390405E-2</c:v>
                </c:pt>
                <c:pt idx="211">
                  <c:v>8.0549122007734536E-2</c:v>
                </c:pt>
                <c:pt idx="212">
                  <c:v>8.0169173319018822E-2</c:v>
                </c:pt>
                <c:pt idx="213">
                  <c:v>7.979279222362437E-2</c:v>
                </c:pt>
                <c:pt idx="214">
                  <c:v>7.9419928708560697E-2</c:v>
                </c:pt>
                <c:pt idx="215">
                  <c:v>7.9050533691311611E-2</c:v>
                </c:pt>
                <c:pt idx="216">
                  <c:v>7.8684558998296281E-2</c:v>
                </c:pt>
                <c:pt idx="217">
                  <c:v>7.832195734392626E-2</c:v>
                </c:pt>
                <c:pt idx="218">
                  <c:v>7.7962682310238521E-2</c:v>
                </c:pt>
                <c:pt idx="219">
                  <c:v>7.7606688327086767E-2</c:v>
                </c:pt>
                <c:pt idx="220">
                  <c:v>7.7253930652872727E-2</c:v>
                </c:pt>
                <c:pt idx="221">
                  <c:v>7.6904365355800919E-2</c:v>
                </c:pt>
                <c:pt idx="222">
                  <c:v>7.655794929563968E-2</c:v>
                </c:pt>
                <c:pt idx="223">
                  <c:v>7.6214640105973105E-2</c:v>
                </c:pt>
                <c:pt idx="224">
                  <c:v>7.5874396176928607E-2</c:v>
                </c:pt>
                <c:pt idx="225">
                  <c:v>7.5537176638364484E-2</c:v>
                </c:pt>
                <c:pt idx="226">
                  <c:v>7.520294134350447E-2</c:v>
                </c:pt>
                <c:pt idx="227">
                  <c:v>7.4871650853004457E-2</c:v>
                </c:pt>
                <c:pt idx="228">
                  <c:v>7.4543266419438647E-2</c:v>
                </c:pt>
                <c:pt idx="229">
                  <c:v>7.4217749972192215E-2</c:v>
                </c:pt>
                <c:pt idx="230">
                  <c:v>7.3895064102747904E-2</c:v>
                </c:pt>
                <c:pt idx="231">
                  <c:v>7.3575172050355062E-2</c:v>
                </c:pt>
                <c:pt idx="232">
                  <c:v>7.3258037688069072E-2</c:v>
                </c:pt>
                <c:pt idx="233">
                  <c:v>7.2943625509150289E-2</c:v>
                </c:pt>
                <c:pt idx="234">
                  <c:v>7.2631900613812056E-2</c:v>
                </c:pt>
                <c:pt idx="235">
                  <c:v>7.2322828696306476E-2</c:v>
                </c:pt>
                <c:pt idx="236">
                  <c:v>7.2016376032339097E-2</c:v>
                </c:pt>
                <c:pt idx="237">
                  <c:v>7.1712509466801799E-2</c:v>
                </c:pt>
                <c:pt idx="238">
                  <c:v>7.1411196401815244E-2</c:v>
                </c:pt>
                <c:pt idx="239">
                  <c:v>7.1112404785071248E-2</c:v>
                </c:pt>
                <c:pt idx="240">
                  <c:v>7.0816103098466796E-2</c:v>
                </c:pt>
                <c:pt idx="241">
                  <c:v>7.0522260347020888E-2</c:v>
                </c:pt>
                <c:pt idx="242">
                  <c:v>7.0230846048066245E-2</c:v>
                </c:pt>
                <c:pt idx="243">
                  <c:v>6.9941830220707962E-2</c:v>
                </c:pt>
                <c:pt idx="244">
                  <c:v>6.9655183375541121E-2</c:v>
                </c:pt>
                <c:pt idx="245">
                  <c:v>6.9370876504620552E-2</c:v>
                </c:pt>
                <c:pt idx="246">
                  <c:v>6.9088881071674949E-2</c:v>
                </c:pt>
                <c:pt idx="247">
                  <c:v>6.8809169002558859E-2</c:v>
                </c:pt>
                <c:pt idx="248">
                  <c:v>6.8531712675935635E-2</c:v>
                </c:pt>
                <c:pt idx="249">
                  <c:v>6.8256484914184901E-2</c:v>
                </c:pt>
                <c:pt idx="250">
                  <c:v>6.7983458974528163E-2</c:v>
                </c:pt>
                <c:pt idx="251">
                  <c:v>6.7712608540366703E-2</c:v>
                </c:pt>
                <c:pt idx="252">
                  <c:v>6.7443907712825574E-2</c:v>
                </c:pt>
                <c:pt idx="253">
                  <c:v>6.7177331002498203E-2</c:v>
                </c:pt>
                <c:pt idx="254">
                  <c:v>6.6912853321386009E-2</c:v>
                </c:pt>
                <c:pt idx="255">
                  <c:v>6.6650449975027629E-2</c:v>
                </c:pt>
                <c:pt idx="256">
                  <c:v>6.6390096654812686E-2</c:v>
                </c:pt>
                <c:pt idx="257">
                  <c:v>6.6131769430474899E-2</c:v>
                </c:pt>
                <c:pt idx="258">
                  <c:v>6.5875444742759887E-2</c:v>
                </c:pt>
                <c:pt idx="259">
                  <c:v>6.5621099396262747E-2</c:v>
                </c:pt>
                <c:pt idx="260">
                  <c:v>6.5368710552430986E-2</c:v>
                </c:pt>
                <c:pt idx="261">
                  <c:v>6.5118255722728183E-2</c:v>
                </c:pt>
                <c:pt idx="262">
                  <c:v>6.4869712761954398E-2</c:v>
                </c:pt>
                <c:pt idx="263">
                  <c:v>6.462305986171886E-2</c:v>
                </c:pt>
                <c:pt idx="264">
                  <c:v>6.4378275544060837E-2</c:v>
                </c:pt>
                <c:pt idx="265">
                  <c:v>6.4135338655215313E-2</c:v>
                </c:pt>
                <c:pt idx="266">
                  <c:v>6.3894228359519037E-2</c:v>
                </c:pt>
                <c:pt idx="267">
                  <c:v>6.3654924133453403E-2</c:v>
                </c:pt>
                <c:pt idx="268">
                  <c:v>6.3417405759821119E-2</c:v>
                </c:pt>
                <c:pt idx="269">
                  <c:v>6.3181653322052292E-2</c:v>
                </c:pt>
                <c:pt idx="270">
                  <c:v>6.2947647198637283E-2</c:v>
                </c:pt>
                <c:pt idx="271">
                  <c:v>6.2715368057682894E-2</c:v>
                </c:pt>
                <c:pt idx="272">
                  <c:v>6.2484796851588476E-2</c:v>
                </c:pt>
                <c:pt idx="273">
                  <c:v>6.2255914811839085E-2</c:v>
                </c:pt>
                <c:pt idx="274">
                  <c:v>6.2028703443912668E-2</c:v>
                </c:pt>
                <c:pt idx="275">
                  <c:v>6.1803144522298431E-2</c:v>
                </c:pt>
                <c:pt idx="276">
                  <c:v>6.1579220085623443E-2</c:v>
                </c:pt>
                <c:pt idx="277">
                  <c:v>6.1356912431884722E-2</c:v>
                </c:pt>
                <c:pt idx="278">
                  <c:v>6.1136204113784426E-2</c:v>
                </c:pt>
                <c:pt idx="279">
                  <c:v>6.0917077934165141E-2</c:v>
                </c:pt>
                <c:pt idx="280">
                  <c:v>6.0699516941543123E-2</c:v>
                </c:pt>
                <c:pt idx="281">
                  <c:v>6.0483504425736911E-2</c:v>
                </c:pt>
                <c:pt idx="282">
                  <c:v>6.0269023913588918E-2</c:v>
                </c:pt>
                <c:pt idx="283">
                  <c:v>6.0056059164777645E-2</c:v>
                </c:pt>
                <c:pt idx="284">
                  <c:v>5.9844594167718583E-2</c:v>
                </c:pt>
                <c:pt idx="285">
                  <c:v>5.963461313555115E-2</c:v>
                </c:pt>
                <c:pt idx="286">
                  <c:v>5.9426100502210068E-2</c:v>
                </c:pt>
                <c:pt idx="287">
                  <c:v>5.9219040918578686E-2</c:v>
                </c:pt>
                <c:pt idx="288">
                  <c:v>5.9013419248722505E-2</c:v>
                </c:pt>
                <c:pt idx="289">
                  <c:v>5.880922056620097E-2</c:v>
                </c:pt>
                <c:pt idx="290">
                  <c:v>5.8606430150455455E-2</c:v>
                </c:pt>
                <c:pt idx="291">
                  <c:v>5.8405033483271772E-2</c:v>
                </c:pt>
                <c:pt idx="292">
                  <c:v>5.8205016245315357E-2</c:v>
                </c:pt>
                <c:pt idx="293">
                  <c:v>5.8006364312737493E-2</c:v>
                </c:pt>
                <c:pt idx="294">
                  <c:v>5.7809063753850642E-2</c:v>
                </c:pt>
                <c:pt idx="295">
                  <c:v>5.761310082587149E-2</c:v>
                </c:pt>
                <c:pt idx="296">
                  <c:v>5.7418461971730034E-2</c:v>
                </c:pt>
                <c:pt idx="297">
                  <c:v>5.7225133816943073E-2</c:v>
                </c:pt>
                <c:pt idx="298">
                  <c:v>5.7033103166550643E-2</c:v>
                </c:pt>
                <c:pt idx="299">
                  <c:v>5.6842357002114013E-2</c:v>
                </c:pt>
                <c:pt idx="300">
                  <c:v>5.665288247877364E-2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12D-46F2-B1D6-24DEDE422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903616"/>
        <c:axId val="221904192"/>
      </c:scatterChart>
      <c:valAx>
        <c:axId val="221903616"/>
        <c:scaling>
          <c:orientation val="minMax"/>
          <c:max val="4"/>
        </c:scaling>
        <c:delete val="0"/>
        <c:axPos val="b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Natural</a:t>
                </a:r>
                <a:r>
                  <a:rPr lang="en-US" altLang="ko-KR" baseline="0"/>
                  <a:t> Period (T</a:t>
                </a:r>
                <a:r>
                  <a:rPr lang="en-US" altLang="ko-KR" baseline="-25000"/>
                  <a:t>n</a:t>
                </a:r>
                <a:r>
                  <a:rPr lang="en-US" altLang="ko-KR" baseline="0"/>
                  <a:t>, sec)</a:t>
                </a:r>
                <a:endParaRPr lang="ko-KR" altLang="en-US"/>
              </a:p>
            </c:rich>
          </c:tx>
          <c:overlay val="0"/>
        </c:title>
        <c:numFmt formatCode="0.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904192"/>
        <c:crosses val="autoZero"/>
        <c:crossBetween val="midCat"/>
      </c:valAx>
      <c:valAx>
        <c:axId val="221904192"/>
        <c:scaling>
          <c:orientation val="minMax"/>
          <c:max val="0.18000000000000002"/>
          <c:min val="0"/>
        </c:scaling>
        <c:delete val="0"/>
        <c:axPos val="l"/>
        <c:majorGridlines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Velocity (S</a:t>
                </a:r>
                <a:r>
                  <a:rPr lang="en-US" altLang="ko-KR" baseline="-25000"/>
                  <a:t>v</a:t>
                </a:r>
                <a:r>
                  <a:rPr lang="en-US" altLang="ko-KR"/>
                  <a:t>, m/s)</a:t>
                </a:r>
                <a:endParaRPr lang="ko-KR" altLang="en-US"/>
              </a:p>
            </c:rich>
          </c:tx>
          <c:layout>
            <c:manualLayout>
              <c:xMode val="edge"/>
              <c:yMode val="edge"/>
              <c:x val="2.36234375E-2"/>
              <c:y val="0.31618487654320993"/>
            </c:manualLayout>
          </c:layout>
          <c:overlay val="0"/>
        </c:title>
        <c:numFmt formatCode="0.00_ " sourceLinked="0"/>
        <c:majorTickMark val="none"/>
        <c:minorTickMark val="none"/>
        <c:tickLblPos val="nextTo"/>
        <c:spPr>
          <a:ln>
            <a:solidFill>
              <a:schemeClr val="tx1">
                <a:lumMod val="50000"/>
                <a:lumOff val="50000"/>
              </a:schemeClr>
            </a:solidFill>
          </a:ln>
        </c:spPr>
        <c:crossAx val="221903616"/>
        <c:crosses val="autoZero"/>
        <c:crossBetween val="midCat"/>
        <c:majorUnit val="3.0000000000000006E-2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0791999690839036"/>
          <c:y val="0.13990030864197531"/>
          <c:w val="0.2267882480005729"/>
          <c:h val="0.14176111111111112"/>
        </c:manualLayout>
      </c:layout>
      <c:overlay val="0"/>
      <c:spPr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c:sp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image" Target="../media/image3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227</xdr:row>
      <xdr:rowOff>161191</xdr:rowOff>
    </xdr:from>
    <xdr:to>
      <xdr:col>24</xdr:col>
      <xdr:colOff>152943</xdr:colOff>
      <xdr:row>245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="" xmlns:a16="http://schemas.microsoft.com/office/drawing/2014/main" id="{F23BA8A1-A34E-49E7-AC23-80F22DA25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468396</xdr:colOff>
      <xdr:row>23</xdr:row>
      <xdr:rowOff>98033</xdr:rowOff>
    </xdr:from>
    <xdr:to>
      <xdr:col>35</xdr:col>
      <xdr:colOff>40381</xdr:colOff>
      <xdr:row>60</xdr:row>
      <xdr:rowOff>164447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3028" y="3456849"/>
          <a:ext cx="4224195" cy="5851598"/>
        </a:xfrm>
        <a:prstGeom prst="rect">
          <a:avLst/>
        </a:prstGeom>
      </xdr:spPr>
    </xdr:pic>
    <xdr:clientData/>
  </xdr:twoCellAnchor>
  <xdr:twoCellAnchor editAs="oneCell">
    <xdr:from>
      <xdr:col>1</xdr:col>
      <xdr:colOff>131379</xdr:colOff>
      <xdr:row>337</xdr:row>
      <xdr:rowOff>26275</xdr:rowOff>
    </xdr:from>
    <xdr:to>
      <xdr:col>23</xdr:col>
      <xdr:colOff>140493</xdr:colOff>
      <xdr:row>383</xdr:row>
      <xdr:rowOff>78827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586" y="53983758"/>
          <a:ext cx="4732200" cy="67003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209</xdr:row>
      <xdr:rowOff>161191</xdr:rowOff>
    </xdr:from>
    <xdr:to>
      <xdr:col>24</xdr:col>
      <xdr:colOff>152943</xdr:colOff>
      <xdr:row>227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="" xmlns:a16="http://schemas.microsoft.com/office/drawing/2014/main" id="{22102110-6688-4292-857B-96017F3F3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175846</xdr:colOff>
      <xdr:row>322</xdr:row>
      <xdr:rowOff>109903</xdr:rowOff>
    </xdr:from>
    <xdr:to>
      <xdr:col>25</xdr:col>
      <xdr:colOff>31009</xdr:colOff>
      <xdr:row>371</xdr:row>
      <xdr:rowOff>43962</xdr:rowOff>
    </xdr:to>
    <xdr:pic>
      <xdr:nvPicPr>
        <xdr:cNvPr id="3" name="_x382105592">
          <a:extLst>
            <a:ext uri="{FF2B5EF4-FFF2-40B4-BE49-F238E27FC236}">
              <a16:creationId xmlns="" xmlns:a16="http://schemas.microsoft.com/office/drawing/2014/main" id="{85BFA0F1-52D7-422F-A5C8-D2D194681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46" y="60710884"/>
          <a:ext cx="5167182" cy="7114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96315</xdr:colOff>
      <xdr:row>0</xdr:row>
      <xdr:rowOff>88506</xdr:rowOff>
    </xdr:from>
    <xdr:to>
      <xdr:col>21</xdr:col>
      <xdr:colOff>534465</xdr:colOff>
      <xdr:row>14</xdr:row>
      <xdr:rowOff>58570</xdr:rowOff>
    </xdr:to>
    <xdr:pic>
      <xdr:nvPicPr>
        <xdr:cNvPr id="3" name="_x134305416" descr="EMB000064bc49bb">
          <a:extLst>
            <a:ext uri="{FF2B5EF4-FFF2-40B4-BE49-F238E27FC236}">
              <a16:creationId xmlns="" xmlns:a16="http://schemas.microsoft.com/office/drawing/2014/main" id="{89218131-C5BB-479B-A990-208CD3FE8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2165" y="660006"/>
          <a:ext cx="4048125" cy="2637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63953</xdr:colOff>
      <xdr:row>2</xdr:row>
      <xdr:rowOff>44904</xdr:rowOff>
    </xdr:from>
    <xdr:to>
      <xdr:col>32</xdr:col>
      <xdr:colOff>91673</xdr:colOff>
      <xdr:row>19</xdr:row>
      <xdr:rowOff>46404</xdr:rowOff>
    </xdr:to>
    <xdr:graphicFrame macro="">
      <xdr:nvGraphicFramePr>
        <xdr:cNvPr id="4" name="차트 3">
          <a:extLst>
            <a:ext uri="{FF2B5EF4-FFF2-40B4-BE49-F238E27FC236}">
              <a16:creationId xmlns="" xmlns:a16="http://schemas.microsoft.com/office/drawing/2014/main" id="{D2CE8660-571C-467F-BECE-BAC3076D8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68036</xdr:colOff>
      <xdr:row>22</xdr:row>
      <xdr:rowOff>0</xdr:rowOff>
    </xdr:from>
    <xdr:to>
      <xdr:col>24</xdr:col>
      <xdr:colOff>541660</xdr:colOff>
      <xdr:row>39</xdr:row>
      <xdr:rowOff>1500</xdr:rowOff>
    </xdr:to>
    <xdr:graphicFrame macro="">
      <xdr:nvGraphicFramePr>
        <xdr:cNvPr id="5" name="차트 4">
          <a:extLst>
            <a:ext uri="{FF2B5EF4-FFF2-40B4-BE49-F238E27FC236}">
              <a16:creationId xmlns="" xmlns:a16="http://schemas.microsoft.com/office/drawing/2014/main" id="{290F99A2-47F9-402E-8935-11388CC979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136071</xdr:colOff>
      <xdr:row>40</xdr:row>
      <xdr:rowOff>0</xdr:rowOff>
    </xdr:from>
    <xdr:to>
      <xdr:col>24</xdr:col>
      <xdr:colOff>609695</xdr:colOff>
      <xdr:row>57</xdr:row>
      <xdr:rowOff>1500</xdr:rowOff>
    </xdr:to>
    <xdr:graphicFrame macro="">
      <xdr:nvGraphicFramePr>
        <xdr:cNvPr id="6" name="차트 5">
          <a:extLst>
            <a:ext uri="{FF2B5EF4-FFF2-40B4-BE49-F238E27FC236}">
              <a16:creationId xmlns="" xmlns:a16="http://schemas.microsoft.com/office/drawing/2014/main" id="{B01ECCAB-C2A0-4D06-8368-35DFDF131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22</xdr:row>
      <xdr:rowOff>0</xdr:rowOff>
    </xdr:from>
    <xdr:to>
      <xdr:col>32</xdr:col>
      <xdr:colOff>652920</xdr:colOff>
      <xdr:row>39</xdr:row>
      <xdr:rowOff>1500</xdr:rowOff>
    </xdr:to>
    <xdr:graphicFrame macro="">
      <xdr:nvGraphicFramePr>
        <xdr:cNvPr id="7" name="차트 6">
          <a:extLst>
            <a:ext uri="{FF2B5EF4-FFF2-40B4-BE49-F238E27FC236}">
              <a16:creationId xmlns="" xmlns:a16="http://schemas.microsoft.com/office/drawing/2014/main" id="{057D1E5A-2BED-4BCF-880A-1F39A710B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40</xdr:row>
      <xdr:rowOff>0</xdr:rowOff>
    </xdr:from>
    <xdr:to>
      <xdr:col>32</xdr:col>
      <xdr:colOff>652920</xdr:colOff>
      <xdr:row>57</xdr:row>
      <xdr:rowOff>1500</xdr:rowOff>
    </xdr:to>
    <xdr:graphicFrame macro="">
      <xdr:nvGraphicFramePr>
        <xdr:cNvPr id="8" name="차트 7">
          <a:extLst>
            <a:ext uri="{FF2B5EF4-FFF2-40B4-BE49-F238E27FC236}">
              <a16:creationId xmlns="" xmlns:a16="http://schemas.microsoft.com/office/drawing/2014/main" id="{B278FDE0-9883-4496-87AB-5688FA998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17</xdr:col>
      <xdr:colOff>677732</xdr:colOff>
      <xdr:row>39</xdr:row>
      <xdr:rowOff>1500</xdr:rowOff>
    </xdr:to>
    <xdr:graphicFrame macro="">
      <xdr:nvGraphicFramePr>
        <xdr:cNvPr id="11" name="차트 10">
          <a:extLst>
            <a:ext uri="{FF2B5EF4-FFF2-40B4-BE49-F238E27FC236}">
              <a16:creationId xmlns="" xmlns:a16="http://schemas.microsoft.com/office/drawing/2014/main" id="{6026A517-9434-4184-9573-17C9976A8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40</xdr:row>
      <xdr:rowOff>0</xdr:rowOff>
    </xdr:from>
    <xdr:to>
      <xdr:col>17</xdr:col>
      <xdr:colOff>677732</xdr:colOff>
      <xdr:row>57</xdr:row>
      <xdr:rowOff>1500</xdr:rowOff>
    </xdr:to>
    <xdr:graphicFrame macro="">
      <xdr:nvGraphicFramePr>
        <xdr:cNvPr id="12" name="차트 11">
          <a:extLst>
            <a:ext uri="{FF2B5EF4-FFF2-40B4-BE49-F238E27FC236}">
              <a16:creationId xmlns="" xmlns:a16="http://schemas.microsoft.com/office/drawing/2014/main" id="{FBC70267-D768-452F-AF57-F694F532C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849;&#54788;\&#49692;&#52285;~&#50868;&#50516;\W_EXCEL\ABUT\source\PI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5.1023%20backup/&#51088;&#47308;/05.Midas%20support/Culvert_1cell/&#50516;&#44144;_1cel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설계조건 "/>
      <sheetName val="PILE "/>
      <sheetName val="6PILE  (돌출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암거해설문"/>
      <sheetName val="INPUT"/>
      <sheetName val="결과정리"/>
      <sheetName val="표지"/>
      <sheetName val="가정단면"/>
      <sheetName val="설계조건"/>
      <sheetName val="하중_상시_도로교"/>
      <sheetName val="하중_상시_철도교"/>
      <sheetName val="하중_지진시(응답변위)"/>
      <sheetName val="하중_지진시(등가정적)"/>
      <sheetName val="하중재하도"/>
      <sheetName val="하중조합"/>
      <sheetName val="전산해석"/>
      <sheetName val="입력데이타(mct생성용)"/>
      <sheetName val="전산해석결과"/>
      <sheetName val="output_부재력"/>
      <sheetName val="output_반력"/>
      <sheetName val="단면검토"/>
      <sheetName val="안정성검토"/>
      <sheetName val="우각부"/>
      <sheetName val="수평철근"/>
      <sheetName val="접속슬래브"/>
      <sheetName val="단면검토(접속)"/>
      <sheetName val="bracket설계"/>
      <sheetName val="신축이음부"/>
      <sheetName val="주철근layout"/>
    </sheetNames>
    <sheetDataSet>
      <sheetData sheetId="0" refreshError="1"/>
      <sheetData sheetId="1"/>
      <sheetData sheetId="2"/>
      <sheetData sheetId="3"/>
      <sheetData sheetId="4"/>
      <sheetData sheetId="5">
        <row r="28">
          <cell r="Q28">
            <v>7.1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5:O17"/>
  <sheetViews>
    <sheetView workbookViewId="0">
      <selection activeCell="M6" sqref="M6"/>
    </sheetView>
  </sheetViews>
  <sheetFormatPr defaultRowHeight="16.5"/>
  <cols>
    <col min="3" max="3" width="10.25" bestFit="1" customWidth="1"/>
    <col min="7" max="10" width="0" hidden="1" customWidth="1"/>
  </cols>
  <sheetData>
    <row r="5" spans="1:15">
      <c r="K5" s="145" t="s">
        <v>417</v>
      </c>
      <c r="L5" s="145" t="s">
        <v>510</v>
      </c>
      <c r="M5" s="145" t="s">
        <v>559</v>
      </c>
      <c r="N5" s="145" t="s">
        <v>583</v>
      </c>
      <c r="O5" s="145" t="s">
        <v>420</v>
      </c>
    </row>
    <row r="6" spans="1:15">
      <c r="A6" s="146">
        <v>1</v>
      </c>
      <c r="B6" s="146" t="e">
        <f>#REF!</f>
        <v>#REF!</v>
      </c>
      <c r="C6" s="147" t="e">
        <f>#REF!</f>
        <v>#REF!</v>
      </c>
      <c r="D6" s="148" t="e">
        <f>#REF!</f>
        <v>#REF!</v>
      </c>
      <c r="E6" s="147" t="e">
        <f>#REF!</f>
        <v>#REF!</v>
      </c>
      <c r="F6" s="151" t="e">
        <f>#REF!</f>
        <v>#REF!</v>
      </c>
      <c r="G6" s="149" t="e">
        <f>#REF!</f>
        <v>#REF!</v>
      </c>
      <c r="H6" s="149" t="e">
        <f>#REF!</f>
        <v>#REF!</v>
      </c>
      <c r="I6" s="149" t="e">
        <f>#REF!</f>
        <v>#REF!</v>
      </c>
      <c r="J6" s="149" t="e">
        <f>#REF!</f>
        <v>#REF!</v>
      </c>
      <c r="K6" s="149" t="e">
        <f>#REF!</f>
        <v>#REF!</v>
      </c>
      <c r="L6" s="149" t="e">
        <f>#REF!</f>
        <v>#REF!</v>
      </c>
      <c r="M6" s="149" t="e">
        <f>#REF!</f>
        <v>#REF!</v>
      </c>
      <c r="N6" s="149" t="e">
        <f>#REF!</f>
        <v>#REF!</v>
      </c>
      <c r="O6" s="152" t="e">
        <f>IF(N6/M6&lt;1,"NG","OK")</f>
        <v>#REF!</v>
      </c>
    </row>
    <row r="7" spans="1:15">
      <c r="A7" s="146">
        <v>2</v>
      </c>
      <c r="B7" s="146" t="e">
        <f>#REF!</f>
        <v>#REF!</v>
      </c>
      <c r="C7" s="147" t="e">
        <f>#REF!</f>
        <v>#REF!</v>
      </c>
      <c r="D7" s="148" t="e">
        <f>#REF!</f>
        <v>#REF!</v>
      </c>
      <c r="E7" s="147" t="e">
        <f>#REF!</f>
        <v>#REF!</v>
      </c>
      <c r="F7" s="151" t="e">
        <f>#REF!</f>
        <v>#REF!</v>
      </c>
      <c r="G7" s="149" t="e">
        <f>#REF!</f>
        <v>#REF!</v>
      </c>
      <c r="H7" s="149" t="e">
        <f>#REF!</f>
        <v>#REF!</v>
      </c>
      <c r="I7" s="149" t="e">
        <f>#REF!</f>
        <v>#REF!</v>
      </c>
      <c r="J7" s="149" t="e">
        <f>#REF!</f>
        <v>#REF!</v>
      </c>
      <c r="K7" s="149" t="e">
        <f>#REF!</f>
        <v>#REF!</v>
      </c>
      <c r="L7" s="149" t="e">
        <f>#REF!</f>
        <v>#REF!</v>
      </c>
      <c r="M7" s="149" t="e">
        <f>#REF!</f>
        <v>#REF!</v>
      </c>
      <c r="N7" s="149" t="e">
        <f>#REF!</f>
        <v>#REF!</v>
      </c>
      <c r="O7" s="152" t="e">
        <f>IF(N7/M7&lt;1,"NG","OK")</f>
        <v>#REF!</v>
      </c>
    </row>
    <row r="8" spans="1:15">
      <c r="A8" s="146">
        <v>3</v>
      </c>
      <c r="B8" s="146" t="e">
        <f>#REF!</f>
        <v>#REF!</v>
      </c>
      <c r="C8" s="147" t="e">
        <f>#REF!</f>
        <v>#REF!</v>
      </c>
      <c r="D8" s="148" t="e">
        <f>#REF!</f>
        <v>#REF!</v>
      </c>
      <c r="E8" s="147" t="e">
        <f>#REF!</f>
        <v>#REF!</v>
      </c>
      <c r="F8" s="151" t="e">
        <f>#REF!</f>
        <v>#REF!</v>
      </c>
      <c r="G8" s="149" t="e">
        <f>#REF!</f>
        <v>#REF!</v>
      </c>
      <c r="H8" s="149" t="e">
        <f>#REF!</f>
        <v>#REF!</v>
      </c>
      <c r="I8" s="149" t="e">
        <f>#REF!</f>
        <v>#REF!</v>
      </c>
      <c r="J8" s="149" t="e">
        <f>#REF!</f>
        <v>#REF!</v>
      </c>
      <c r="K8" s="149" t="e">
        <f>#REF!</f>
        <v>#REF!</v>
      </c>
      <c r="L8" s="149" t="e">
        <f>#REF!</f>
        <v>#REF!</v>
      </c>
      <c r="M8" s="149" t="e">
        <f>#REF!</f>
        <v>#REF!</v>
      </c>
      <c r="N8" s="149" t="e">
        <f>#REF!</f>
        <v>#REF!</v>
      </c>
      <c r="O8" s="152" t="e">
        <f>IF(N8/M8&lt;1,"NG","OK")</f>
        <v>#REF!</v>
      </c>
    </row>
    <row r="9" spans="1:15">
      <c r="A9" s="146">
        <v>17</v>
      </c>
      <c r="B9" s="146">
        <f>'하안송수관로 01(01)'!$AA$1</f>
        <v>0</v>
      </c>
      <c r="C9" s="147">
        <f>'하안송수관로 01(01)'!$AB$1</f>
        <v>0</v>
      </c>
      <c r="D9" s="148">
        <f>'하안송수관로 01(01)'!$N$314</f>
        <v>3</v>
      </c>
      <c r="E9" s="147">
        <f>'하안송수관로 01(01)'!$N$317</f>
        <v>0.154</v>
      </c>
      <c r="F9" s="151">
        <f>'하안송수관로 01(01)'!$N$318</f>
        <v>0.245</v>
      </c>
      <c r="G9" s="149" t="e">
        <f>#REF!</f>
        <v>#REF!</v>
      </c>
      <c r="H9" s="149" t="e">
        <f>#REF!</f>
        <v>#REF!</v>
      </c>
      <c r="I9" s="149" t="e">
        <f>#REF!</f>
        <v>#REF!</v>
      </c>
      <c r="J9" s="149" t="e">
        <f>#REF!</f>
        <v>#REF!</v>
      </c>
      <c r="K9" s="149">
        <f>'하안송수관로 01(01)'!$AF$327</f>
        <v>3.934942857142857E-2</v>
      </c>
      <c r="L9" s="149">
        <f>'하안송수관로 01(01)'!$AG$327</f>
        <v>1.7609984406588119E-2</v>
      </c>
      <c r="M9" s="149">
        <f>'하안송수관로 01(01)'!$AH$327</f>
        <v>5.6959412978016689E-2</v>
      </c>
      <c r="N9" s="149">
        <f>'하안송수관로 01(01)'!$AI$327</f>
        <v>0.36799999999999999</v>
      </c>
      <c r="O9" s="152" t="str">
        <f t="shared" ref="O9" si="0">IF(N9/M9&lt;1,"NG","OK")</f>
        <v>OK</v>
      </c>
    </row>
    <row r="10" spans="1:15">
      <c r="A10" s="146"/>
      <c r="B10" s="147"/>
      <c r="C10" s="147"/>
      <c r="D10" s="148"/>
      <c r="E10" s="147"/>
      <c r="F10" s="151"/>
      <c r="G10" s="149"/>
      <c r="H10" s="149"/>
      <c r="I10" s="149"/>
      <c r="J10" s="149"/>
      <c r="K10" s="149"/>
      <c r="L10" s="149"/>
      <c r="M10" s="149"/>
      <c r="N10" s="149"/>
      <c r="O10" s="150"/>
    </row>
    <row r="11" spans="1:15">
      <c r="A11" s="146"/>
      <c r="B11" s="147"/>
      <c r="C11" s="147"/>
      <c r="D11" s="148"/>
      <c r="E11" s="147"/>
      <c r="F11" s="151"/>
      <c r="G11" s="149"/>
      <c r="H11" s="149"/>
      <c r="I11" s="149"/>
      <c r="J11" s="149"/>
      <c r="K11" s="149"/>
      <c r="L11" s="149"/>
      <c r="M11" s="149"/>
      <c r="N11" s="149"/>
      <c r="O11" s="150"/>
    </row>
    <row r="12" spans="1:15">
      <c r="A12" s="146"/>
      <c r="B12" s="147"/>
      <c r="C12" s="147"/>
      <c r="D12" s="148"/>
      <c r="E12" s="147"/>
      <c r="F12" s="151"/>
      <c r="G12" s="149"/>
      <c r="H12" s="149"/>
      <c r="I12" s="149"/>
      <c r="J12" s="149"/>
      <c r="K12" s="149"/>
      <c r="L12" s="149"/>
      <c r="M12" s="149"/>
      <c r="N12" s="149"/>
      <c r="O12" s="150"/>
    </row>
    <row r="13" spans="1:15">
      <c r="A13" s="146"/>
      <c r="B13" s="147"/>
      <c r="C13" s="147"/>
      <c r="D13" s="148"/>
      <c r="E13" s="147"/>
      <c r="F13" s="151"/>
      <c r="G13" s="149"/>
      <c r="H13" s="149"/>
      <c r="I13" s="149"/>
      <c r="J13" s="149"/>
      <c r="K13" s="149"/>
      <c r="L13" s="149"/>
      <c r="M13" s="149"/>
      <c r="N13" s="149"/>
      <c r="O13" s="150"/>
    </row>
    <row r="14" spans="1:15">
      <c r="A14" s="146"/>
      <c r="B14" s="147"/>
      <c r="C14" s="147"/>
      <c r="D14" s="148"/>
      <c r="E14" s="147"/>
      <c r="F14" s="151"/>
      <c r="G14" s="149"/>
      <c r="H14" s="149"/>
      <c r="I14" s="149"/>
      <c r="J14" s="149"/>
      <c r="K14" s="149"/>
      <c r="L14" s="149"/>
      <c r="M14" s="149"/>
      <c r="N14" s="149"/>
      <c r="O14" s="150"/>
    </row>
    <row r="15" spans="1:15">
      <c r="A15" s="146"/>
      <c r="B15" s="147"/>
      <c r="C15" s="147"/>
      <c r="D15" s="148"/>
      <c r="E15" s="147"/>
      <c r="F15" s="151"/>
      <c r="G15" s="149"/>
      <c r="H15" s="149"/>
      <c r="I15" s="149"/>
      <c r="J15" s="149"/>
      <c r="K15" s="149"/>
      <c r="L15" s="149"/>
      <c r="M15" s="149"/>
      <c r="N15" s="149"/>
      <c r="O15" s="150"/>
    </row>
    <row r="16" spans="1:15">
      <c r="A16" s="146"/>
      <c r="B16" s="147"/>
      <c r="C16" s="147"/>
      <c r="D16" s="148"/>
      <c r="E16" s="147"/>
      <c r="F16" s="151"/>
      <c r="G16" s="149"/>
      <c r="H16" s="149"/>
      <c r="I16" s="149"/>
      <c r="J16" s="149"/>
      <c r="K16" s="149"/>
      <c r="L16" s="149"/>
      <c r="M16" s="149"/>
      <c r="N16" s="149"/>
      <c r="O16" s="150"/>
    </row>
    <row r="17" spans="1:15">
      <c r="A17" s="146"/>
      <c r="B17" s="147"/>
      <c r="C17" s="147"/>
      <c r="D17" s="148"/>
      <c r="E17" s="147"/>
      <c r="F17" s="151"/>
      <c r="G17" s="149"/>
      <c r="H17" s="149"/>
      <c r="I17" s="149"/>
      <c r="J17" s="149"/>
      <c r="K17" s="149"/>
      <c r="L17" s="149"/>
      <c r="M17" s="149"/>
      <c r="N17" s="149"/>
      <c r="O17" s="15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BY336"/>
  <sheetViews>
    <sheetView tabSelected="1" view="pageBreakPreview" zoomScale="145" zoomScaleNormal="175" zoomScaleSheetLayoutView="145" workbookViewId="0">
      <selection activeCell="S332" sqref="S332:X332"/>
    </sheetView>
  </sheetViews>
  <sheetFormatPr defaultRowHeight="11.25"/>
  <cols>
    <col min="1" max="10" width="2.75" style="5" customWidth="1"/>
    <col min="11" max="15" width="3" style="5" customWidth="1"/>
    <col min="16" max="26" width="2.75" style="5" customWidth="1"/>
    <col min="27" max="28" width="6.625" style="5" customWidth="1"/>
    <col min="29" max="29" width="6.625" style="153" customWidth="1"/>
    <col min="30" max="30" width="7.875" style="5" customWidth="1"/>
    <col min="31" max="41" width="6.625" style="5" customWidth="1"/>
    <col min="42" max="53" width="3.125" style="5" customWidth="1"/>
    <col min="54" max="16384" width="9" style="5"/>
  </cols>
  <sheetData>
    <row r="1" spans="1:77" ht="12.95" customHeight="1">
      <c r="A1" s="166" t="s">
        <v>722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C1" s="5"/>
    </row>
    <row r="2" spans="1:77" ht="3" customHeight="1">
      <c r="A2" s="41"/>
      <c r="AC2" s="5"/>
    </row>
    <row r="3" spans="1:77" ht="12.95" customHeight="1">
      <c r="A3" s="5" t="s">
        <v>218</v>
      </c>
      <c r="C3" s="8"/>
      <c r="F3" s="153"/>
      <c r="AA3" s="10"/>
      <c r="AC3" s="5"/>
    </row>
    <row r="4" spans="1:77" s="18" customFormat="1" ht="12.95" customHeight="1">
      <c r="A4" s="162"/>
      <c r="B4" s="167" t="s">
        <v>252</v>
      </c>
      <c r="D4" s="165"/>
      <c r="E4" s="165"/>
      <c r="F4" s="165"/>
      <c r="G4" s="165"/>
      <c r="H4" s="165"/>
      <c r="I4" s="162"/>
      <c r="J4" s="156" t="s">
        <v>186</v>
      </c>
      <c r="K4" s="210">
        <v>1.7330000000000001</v>
      </c>
      <c r="L4" s="210"/>
      <c r="M4" s="210"/>
      <c r="N4" s="210"/>
      <c r="O4" s="165" t="s">
        <v>251</v>
      </c>
      <c r="P4" s="168"/>
      <c r="Q4" s="16" t="s">
        <v>207</v>
      </c>
      <c r="R4" s="211">
        <f>K4*1000</f>
        <v>1733</v>
      </c>
      <c r="S4" s="211"/>
      <c r="T4" s="211"/>
      <c r="U4" s="211"/>
      <c r="V4" s="211"/>
      <c r="W4" s="16" t="s">
        <v>596</v>
      </c>
      <c r="X4" s="17"/>
      <c r="Z4" s="17"/>
      <c r="AA4" s="17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69"/>
      <c r="BH4" s="19"/>
      <c r="BI4" s="19"/>
      <c r="BJ4" s="19"/>
      <c r="BK4" s="19"/>
      <c r="BL4" s="19"/>
      <c r="BM4" s="19"/>
      <c r="BN4" s="19"/>
      <c r="BO4" s="19"/>
      <c r="BP4" s="17"/>
      <c r="BQ4" s="17"/>
      <c r="BR4" s="17"/>
      <c r="BS4" s="17"/>
      <c r="BT4" s="17"/>
      <c r="BU4" s="17"/>
      <c r="BV4" s="17"/>
      <c r="BW4" s="17"/>
      <c r="BX4" s="17"/>
      <c r="BY4" s="17"/>
    </row>
    <row r="5" spans="1:77" s="18" customFormat="1" ht="12.95" customHeight="1">
      <c r="A5" s="162"/>
      <c r="B5" s="167" t="s">
        <v>257</v>
      </c>
      <c r="D5" s="165"/>
      <c r="E5" s="165"/>
      <c r="F5" s="165"/>
      <c r="G5" s="165"/>
      <c r="H5" s="165"/>
      <c r="I5" s="162"/>
      <c r="J5" s="156" t="s">
        <v>186</v>
      </c>
      <c r="K5" s="210">
        <v>4</v>
      </c>
      <c r="L5" s="210"/>
      <c r="M5" s="210"/>
      <c r="N5" s="210"/>
      <c r="O5" s="165" t="s">
        <v>201</v>
      </c>
      <c r="P5" s="209" t="s">
        <v>261</v>
      </c>
      <c r="Q5" s="209"/>
      <c r="R5" s="17" t="s">
        <v>262</v>
      </c>
      <c r="S5" s="17"/>
      <c r="T5" s="17"/>
      <c r="U5" s="17"/>
      <c r="V5" s="212">
        <f>ROUND(K5+R14/2,3)</f>
        <v>4.5</v>
      </c>
      <c r="W5" s="212"/>
      <c r="X5" s="212"/>
      <c r="Y5" s="212"/>
      <c r="Z5" s="165" t="s">
        <v>201</v>
      </c>
      <c r="AA5" s="17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69"/>
      <c r="BH5" s="19"/>
      <c r="BI5" s="19"/>
      <c r="BJ5" s="19"/>
      <c r="BK5" s="19"/>
      <c r="BL5" s="19"/>
      <c r="BM5" s="19"/>
      <c r="BN5" s="19"/>
      <c r="BO5" s="19"/>
      <c r="BP5" s="17"/>
      <c r="BQ5" s="17"/>
      <c r="BR5" s="17"/>
      <c r="BS5" s="17"/>
      <c r="BT5" s="17"/>
      <c r="BU5" s="17"/>
      <c r="BV5" s="17"/>
      <c r="BW5" s="17"/>
      <c r="BX5" s="17"/>
      <c r="BY5" s="17"/>
    </row>
    <row r="6" spans="1:77" s="18" customFormat="1" ht="12.95" customHeight="1">
      <c r="A6" s="162"/>
      <c r="B6" s="167" t="s">
        <v>204</v>
      </c>
      <c r="D6" s="165"/>
      <c r="E6" s="165"/>
      <c r="F6" s="165"/>
      <c r="G6" s="165"/>
      <c r="H6" s="165"/>
      <c r="I6" s="162"/>
      <c r="J6" s="156" t="s">
        <v>186</v>
      </c>
      <c r="K6" s="206">
        <v>19</v>
      </c>
      <c r="L6" s="206"/>
      <c r="M6" s="206"/>
      <c r="N6" s="206"/>
      <c r="O6" s="165" t="s">
        <v>596</v>
      </c>
      <c r="P6" s="168"/>
      <c r="Q6" s="17"/>
      <c r="R6" s="17"/>
      <c r="S6" s="17"/>
      <c r="T6" s="17"/>
      <c r="U6" s="17"/>
      <c r="V6" s="17"/>
      <c r="W6" s="17"/>
      <c r="X6" s="17"/>
      <c r="Z6" s="17"/>
      <c r="AA6" s="17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69"/>
      <c r="BH6" s="19"/>
      <c r="BI6" s="19"/>
      <c r="BJ6" s="19"/>
      <c r="BK6" s="19"/>
      <c r="BL6" s="19"/>
      <c r="BM6" s="19"/>
      <c r="BN6" s="19"/>
      <c r="BO6" s="19"/>
      <c r="BP6" s="17"/>
      <c r="BQ6" s="17"/>
      <c r="BR6" s="17"/>
      <c r="BS6" s="17"/>
      <c r="BT6" s="17"/>
      <c r="BU6" s="17"/>
      <c r="BV6" s="17"/>
      <c r="BW6" s="17"/>
      <c r="BX6" s="17"/>
      <c r="BY6" s="17"/>
    </row>
    <row r="7" spans="1:77" s="18" customFormat="1" ht="12.95" customHeight="1">
      <c r="A7" s="162"/>
      <c r="B7" s="167" t="s">
        <v>253</v>
      </c>
      <c r="D7" s="165"/>
      <c r="E7" s="165"/>
      <c r="F7" s="165"/>
      <c r="G7" s="165"/>
      <c r="H7" s="165"/>
      <c r="I7" s="162"/>
      <c r="J7" s="156" t="s">
        <v>186</v>
      </c>
      <c r="K7" s="206">
        <v>20</v>
      </c>
      <c r="L7" s="206"/>
      <c r="M7" s="206"/>
      <c r="N7" s="206"/>
      <c r="O7" s="165" t="s">
        <v>254</v>
      </c>
      <c r="P7" s="168"/>
      <c r="Q7" s="17"/>
      <c r="R7" s="17"/>
      <c r="S7" s="17"/>
      <c r="T7" s="17"/>
      <c r="U7" s="17"/>
      <c r="V7" s="17"/>
      <c r="W7" s="17"/>
      <c r="X7" s="17"/>
      <c r="Z7" s="17"/>
      <c r="AA7" s="17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69"/>
      <c r="BH7" s="19"/>
      <c r="BI7" s="19"/>
      <c r="BJ7" s="19"/>
      <c r="BK7" s="19"/>
      <c r="BL7" s="19"/>
      <c r="BM7" s="19"/>
      <c r="BN7" s="19"/>
      <c r="BO7" s="19"/>
      <c r="BP7" s="17"/>
      <c r="BQ7" s="17"/>
      <c r="BR7" s="17"/>
      <c r="BS7" s="17"/>
      <c r="BT7" s="17"/>
      <c r="BU7" s="17"/>
      <c r="BV7" s="17"/>
      <c r="BW7" s="17"/>
      <c r="BX7" s="17"/>
      <c r="BY7" s="17"/>
    </row>
    <row r="8" spans="1:77" s="18" customFormat="1" ht="12.95" customHeight="1">
      <c r="A8" s="162"/>
      <c r="B8" s="167" t="s">
        <v>202</v>
      </c>
      <c r="D8" s="165"/>
      <c r="E8" s="165"/>
      <c r="F8" s="165"/>
      <c r="G8" s="165"/>
      <c r="H8" s="165"/>
      <c r="I8" s="162"/>
      <c r="J8" s="156" t="s">
        <v>186</v>
      </c>
      <c r="K8" s="207">
        <f>K74</f>
        <v>12</v>
      </c>
      <c r="L8" s="207"/>
      <c r="M8" s="207"/>
      <c r="N8" s="207"/>
      <c r="O8" s="165" t="s">
        <v>203</v>
      </c>
      <c r="P8" s="168"/>
      <c r="Q8" s="17"/>
      <c r="R8" s="17"/>
      <c r="S8" s="17"/>
      <c r="T8" s="17"/>
      <c r="U8" s="17"/>
      <c r="V8" s="17"/>
      <c r="W8" s="17"/>
      <c r="X8" s="17"/>
      <c r="Z8" s="17"/>
      <c r="AA8" s="17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69"/>
      <c r="BH8" s="19"/>
      <c r="BI8" s="19"/>
      <c r="BJ8" s="19"/>
      <c r="BK8" s="19"/>
      <c r="BL8" s="19"/>
      <c r="BM8" s="19"/>
      <c r="BN8" s="19"/>
      <c r="BO8" s="19"/>
      <c r="BP8" s="17"/>
      <c r="BQ8" s="17"/>
      <c r="BR8" s="17"/>
      <c r="BS8" s="17"/>
      <c r="BT8" s="17"/>
      <c r="BU8" s="17"/>
      <c r="BV8" s="17"/>
      <c r="BW8" s="17"/>
      <c r="BX8" s="17"/>
      <c r="BY8" s="17"/>
    </row>
    <row r="9" spans="1:77" s="18" customFormat="1" ht="12.95" customHeight="1">
      <c r="A9" s="162"/>
      <c r="B9" s="167" t="s">
        <v>597</v>
      </c>
      <c r="D9" s="165"/>
      <c r="E9" s="165"/>
      <c r="F9" s="165"/>
      <c r="G9" s="165"/>
      <c r="H9" s="165"/>
      <c r="I9" s="162"/>
      <c r="J9" s="156" t="s">
        <v>186</v>
      </c>
      <c r="K9" s="208" t="s">
        <v>580</v>
      </c>
      <c r="L9" s="208"/>
      <c r="M9" s="208"/>
      <c r="N9" s="208"/>
      <c r="O9" s="165"/>
      <c r="P9" s="209" t="s">
        <v>261</v>
      </c>
      <c r="Q9" s="209"/>
      <c r="R9" s="207">
        <f>IF(K9="없음",0,IF(K9="DB-24",96,IF(K9="DB-18",72,54)))</f>
        <v>0</v>
      </c>
      <c r="S9" s="207"/>
      <c r="T9" s="207"/>
      <c r="U9" s="207"/>
      <c r="V9" s="17" t="s">
        <v>264</v>
      </c>
      <c r="W9" s="17"/>
      <c r="X9" s="17"/>
      <c r="Z9" s="17"/>
      <c r="AA9" s="17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69"/>
      <c r="BH9" s="19"/>
      <c r="BI9" s="19"/>
      <c r="BJ9" s="19"/>
      <c r="BK9" s="19"/>
      <c r="BL9" s="19"/>
      <c r="BM9" s="19"/>
      <c r="BN9" s="19"/>
      <c r="BO9" s="19"/>
      <c r="BP9" s="17"/>
      <c r="BQ9" s="17"/>
      <c r="BR9" s="17"/>
      <c r="BS9" s="17"/>
      <c r="BT9" s="17"/>
      <c r="BU9" s="17"/>
      <c r="BV9" s="17"/>
      <c r="BW9" s="17"/>
      <c r="BX9" s="17"/>
      <c r="BY9" s="17"/>
    </row>
    <row r="10" spans="1:77" s="18" customFormat="1" ht="12.95" customHeight="1">
      <c r="A10" s="162"/>
      <c r="B10" s="167" t="s">
        <v>598</v>
      </c>
      <c r="D10" s="165"/>
      <c r="E10" s="165"/>
      <c r="F10" s="165"/>
      <c r="G10" s="165"/>
      <c r="H10" s="165"/>
      <c r="I10" s="162"/>
      <c r="J10" s="156" t="s">
        <v>186</v>
      </c>
      <c r="K10" s="206">
        <v>0</v>
      </c>
      <c r="L10" s="206"/>
      <c r="M10" s="206"/>
      <c r="N10" s="206"/>
      <c r="O10" s="165" t="s">
        <v>8</v>
      </c>
      <c r="P10" s="170" t="s">
        <v>332</v>
      </c>
      <c r="Q10" s="170" t="s">
        <v>446</v>
      </c>
      <c r="R10" s="171"/>
      <c r="S10" s="171"/>
      <c r="T10" s="156" t="s">
        <v>207</v>
      </c>
      <c r="U10" s="206">
        <v>0</v>
      </c>
      <c r="V10" s="206"/>
      <c r="W10" s="206"/>
      <c r="X10" s="206"/>
      <c r="Y10" s="18" t="s">
        <v>8</v>
      </c>
      <c r="Z10" s="17"/>
      <c r="AA10" s="17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69"/>
      <c r="BH10" s="19"/>
      <c r="BI10" s="19"/>
      <c r="BJ10" s="19"/>
      <c r="BK10" s="19"/>
      <c r="BL10" s="19"/>
      <c r="BM10" s="19"/>
      <c r="BN10" s="19"/>
      <c r="BO10" s="19"/>
      <c r="BP10" s="17"/>
      <c r="BQ10" s="17"/>
      <c r="BR10" s="17"/>
      <c r="BS10" s="17"/>
      <c r="BT10" s="17"/>
      <c r="BU10" s="17"/>
      <c r="BV10" s="17"/>
      <c r="BW10" s="17"/>
      <c r="BX10" s="17"/>
      <c r="BY10" s="17"/>
    </row>
    <row r="11" spans="1:77" s="16" customFormat="1" ht="4.5" customHeight="1"/>
    <row r="12" spans="1:77" s="16" customFormat="1" ht="12.95" customHeight="1">
      <c r="B12" s="16" t="s">
        <v>205</v>
      </c>
      <c r="C12" s="16" t="s">
        <v>256</v>
      </c>
      <c r="J12" s="156" t="s">
        <v>186</v>
      </c>
      <c r="K12" s="215">
        <v>210000</v>
      </c>
      <c r="L12" s="215"/>
      <c r="M12" s="215"/>
      <c r="N12" s="215"/>
      <c r="O12" s="16" t="s">
        <v>206</v>
      </c>
      <c r="Q12" s="156" t="s">
        <v>207</v>
      </c>
      <c r="R12" s="215">
        <f>K12*1000</f>
        <v>210000000</v>
      </c>
      <c r="S12" s="215"/>
      <c r="T12" s="215"/>
      <c r="U12" s="215"/>
      <c r="V12" s="215"/>
      <c r="W12" s="16" t="s">
        <v>596</v>
      </c>
    </row>
    <row r="13" spans="1:77" s="16" customFormat="1" ht="12.95" customHeight="1">
      <c r="B13" s="16" t="s">
        <v>208</v>
      </c>
      <c r="C13" s="16" t="s">
        <v>255</v>
      </c>
      <c r="J13" s="156" t="s">
        <v>186</v>
      </c>
      <c r="K13" s="217">
        <v>8</v>
      </c>
      <c r="L13" s="217"/>
      <c r="M13" s="217"/>
      <c r="N13" s="217"/>
      <c r="O13" s="16" t="s">
        <v>209</v>
      </c>
      <c r="Q13" s="156" t="s">
        <v>207</v>
      </c>
      <c r="R13" s="216">
        <f>K13/1000</f>
        <v>8.0000000000000002E-3</v>
      </c>
      <c r="S13" s="216"/>
      <c r="T13" s="216"/>
      <c r="U13" s="216"/>
      <c r="V13" s="16" t="s">
        <v>210</v>
      </c>
    </row>
    <row r="14" spans="1:77" s="16" customFormat="1" ht="12.95" customHeight="1">
      <c r="B14" s="16" t="s">
        <v>211</v>
      </c>
      <c r="C14" s="16" t="s">
        <v>212</v>
      </c>
      <c r="J14" s="156" t="s">
        <v>186</v>
      </c>
      <c r="K14" s="213">
        <v>1000</v>
      </c>
      <c r="L14" s="213"/>
      <c r="M14" s="213"/>
      <c r="N14" s="213"/>
      <c r="O14" s="16" t="s">
        <v>209</v>
      </c>
      <c r="Q14" s="156" t="s">
        <v>207</v>
      </c>
      <c r="R14" s="214">
        <f>K14/1000</f>
        <v>1</v>
      </c>
      <c r="S14" s="214"/>
      <c r="T14" s="214"/>
      <c r="U14" s="214"/>
      <c r="V14" s="16" t="s">
        <v>210</v>
      </c>
    </row>
    <row r="15" spans="1:77" s="16" customFormat="1" ht="12.95" customHeight="1">
      <c r="B15" s="16" t="s">
        <v>258</v>
      </c>
      <c r="C15" s="16" t="s">
        <v>259</v>
      </c>
      <c r="J15" s="156" t="s">
        <v>186</v>
      </c>
      <c r="K15" s="213">
        <v>6000</v>
      </c>
      <c r="L15" s="213"/>
      <c r="M15" s="213"/>
      <c r="N15" s="213"/>
      <c r="O15" s="16" t="s">
        <v>209</v>
      </c>
      <c r="Q15" s="156" t="s">
        <v>207</v>
      </c>
      <c r="R15" s="214">
        <f>K15/1000</f>
        <v>6</v>
      </c>
      <c r="S15" s="214"/>
      <c r="T15" s="214"/>
      <c r="U15" s="214"/>
      <c r="V15" s="16" t="s">
        <v>210</v>
      </c>
    </row>
    <row r="16" spans="1:77" s="16" customFormat="1" ht="12.95" customHeight="1">
      <c r="B16" s="16" t="s">
        <v>213</v>
      </c>
      <c r="C16" s="16" t="s">
        <v>214</v>
      </c>
      <c r="J16" s="156" t="s">
        <v>186</v>
      </c>
      <c r="K16" s="215">
        <f>PI()*(K14-K13)*K13</f>
        <v>24931.679298888597</v>
      </c>
      <c r="L16" s="215"/>
      <c r="M16" s="215"/>
      <c r="N16" s="215"/>
      <c r="O16" s="16" t="s">
        <v>599</v>
      </c>
      <c r="Q16" s="156" t="s">
        <v>207</v>
      </c>
      <c r="R16" s="216">
        <f>K16*10^-6</f>
        <v>2.4931679298888596E-2</v>
      </c>
      <c r="S16" s="216"/>
      <c r="T16" s="216"/>
      <c r="U16" s="216"/>
      <c r="V16" s="16" t="s">
        <v>600</v>
      </c>
    </row>
    <row r="17" spans="2:34" s="16" customFormat="1" ht="12.95" customHeight="1">
      <c r="B17" s="16" t="s">
        <v>215</v>
      </c>
      <c r="C17" s="16" t="s">
        <v>216</v>
      </c>
      <c r="J17" s="156" t="s">
        <v>207</v>
      </c>
      <c r="K17" s="215">
        <f>((PI()*(K14)^4)/64)-((PI()*(K14-K13*2)^4)/64)</f>
        <v>3066995460.6320801</v>
      </c>
      <c r="L17" s="215"/>
      <c r="M17" s="215"/>
      <c r="N17" s="215"/>
      <c r="O17" s="16" t="s">
        <v>601</v>
      </c>
      <c r="P17" s="156"/>
      <c r="Q17" s="156" t="s">
        <v>207</v>
      </c>
      <c r="R17" s="216">
        <f>K17*10^-12</f>
        <v>3.0669954606320801E-3</v>
      </c>
      <c r="S17" s="216"/>
      <c r="T17" s="216"/>
      <c r="U17" s="216"/>
      <c r="V17" s="16" t="s">
        <v>602</v>
      </c>
    </row>
    <row r="18" spans="2:34" s="16" customFormat="1" ht="12.95" customHeight="1">
      <c r="W18" s="93"/>
      <c r="X18" s="93"/>
    </row>
    <row r="19" spans="2:34" ht="12.95" customHeight="1">
      <c r="B19" s="167" t="s">
        <v>588</v>
      </c>
      <c r="E19" s="5" t="s">
        <v>595</v>
      </c>
    </row>
    <row r="20" spans="2:34" ht="12.95" customHeight="1">
      <c r="B20" s="5" t="s">
        <v>573</v>
      </c>
    </row>
    <row r="21" spans="2:34" ht="12.95" customHeight="1">
      <c r="B21" s="5" t="s">
        <v>571</v>
      </c>
      <c r="AB21" s="41" t="s">
        <v>102</v>
      </c>
      <c r="AC21" s="41" t="s">
        <v>191</v>
      </c>
    </row>
    <row r="22" spans="2:34" ht="12.95" customHeight="1">
      <c r="B22" s="5" t="s">
        <v>603</v>
      </c>
      <c r="AB22" s="41" t="s">
        <v>102</v>
      </c>
      <c r="AC22" s="41" t="s">
        <v>194</v>
      </c>
    </row>
    <row r="23" spans="2:34" ht="5.0999999999999996" customHeight="1" thickBot="1"/>
    <row r="24" spans="2:34" ht="26.1" customHeight="1">
      <c r="B24" s="234" t="s">
        <v>42</v>
      </c>
      <c r="C24" s="235"/>
      <c r="D24" s="235"/>
      <c r="E24" s="235"/>
      <c r="F24" s="235" t="s">
        <v>123</v>
      </c>
      <c r="G24" s="235"/>
      <c r="H24" s="235"/>
      <c r="I24" s="235" t="s">
        <v>43</v>
      </c>
      <c r="J24" s="235"/>
      <c r="K24" s="235"/>
      <c r="L24" s="235" t="s">
        <v>44</v>
      </c>
      <c r="M24" s="235"/>
      <c r="N24" s="235"/>
      <c r="O24" s="236" t="s">
        <v>604</v>
      </c>
      <c r="P24" s="236"/>
      <c r="Q24" s="236"/>
      <c r="R24" s="236"/>
      <c r="S24" s="237" t="s">
        <v>605</v>
      </c>
      <c r="T24" s="238"/>
      <c r="U24" s="239"/>
      <c r="V24" s="231" t="s">
        <v>10</v>
      </c>
      <c r="W24" s="232"/>
      <c r="X24" s="233"/>
      <c r="AC24" s="172" t="s">
        <v>190</v>
      </c>
    </row>
    <row r="25" spans="2:34" ht="12.95" customHeight="1">
      <c r="B25" s="218" t="s">
        <v>593</v>
      </c>
      <c r="C25" s="219"/>
      <c r="D25" s="219"/>
      <c r="E25" s="219"/>
      <c r="F25" s="220">
        <v>6.5</v>
      </c>
      <c r="G25" s="221"/>
      <c r="H25" s="222"/>
      <c r="I25" s="173">
        <v>3</v>
      </c>
      <c r="J25" s="32" t="s">
        <v>5</v>
      </c>
      <c r="K25" s="173">
        <v>30</v>
      </c>
      <c r="L25" s="223">
        <f t="shared" ref="L25:L38" si="0">IFERROR(IF(K25=30,I25,IF((50*30/K25)&gt;=300,"300",50*30/K25)),"")</f>
        <v>3</v>
      </c>
      <c r="M25" s="223"/>
      <c r="N25" s="223"/>
      <c r="O25" s="224">
        <f t="shared" ref="O25:O38" si="1">IF(OR(AC25="",AC25=0),IFERROR(ROUND(65.64*L25^0.407,2),IF(OR(B25="연암층",B25="경암층",B25="보통암층",B25="기반암층"),760,"")),AC25)</f>
        <v>102.65</v>
      </c>
      <c r="P25" s="224"/>
      <c r="Q25" s="224"/>
      <c r="R25" s="224"/>
      <c r="S25" s="225">
        <f t="shared" ref="S25:S40" si="2">IFERROR(F25/O25,"-")</f>
        <v>6.332196785192401E-2</v>
      </c>
      <c r="T25" s="226"/>
      <c r="U25" s="227"/>
      <c r="V25" s="228"/>
      <c r="W25" s="229"/>
      <c r="X25" s="230"/>
      <c r="AA25" s="174">
        <f>F25</f>
        <v>6.5</v>
      </c>
      <c r="AC25" s="175"/>
    </row>
    <row r="26" spans="2:34" ht="12.95" customHeight="1">
      <c r="B26" s="218" t="s">
        <v>592</v>
      </c>
      <c r="C26" s="219"/>
      <c r="D26" s="219"/>
      <c r="E26" s="219"/>
      <c r="F26" s="241">
        <v>1.1000000000000001</v>
      </c>
      <c r="G26" s="241"/>
      <c r="H26" s="241"/>
      <c r="I26" s="173">
        <v>47</v>
      </c>
      <c r="J26" s="32" t="s">
        <v>5</v>
      </c>
      <c r="K26" s="173">
        <v>30</v>
      </c>
      <c r="L26" s="223">
        <f>IFERROR(IF(K26=30,I26,IF((50*30/K26)&gt;=300,"300",50*30/K26)),"")</f>
        <v>47</v>
      </c>
      <c r="M26" s="223"/>
      <c r="N26" s="223"/>
      <c r="O26" s="224">
        <f>IF(OR(AC26="",AC26=0),IFERROR(ROUND(65.64*L26^0.407,2),IF(OR(B26="연암층",B26="경암층",B26="보통암층",B26="기반암층"),760,"")),AC26)</f>
        <v>314.57</v>
      </c>
      <c r="P26" s="224"/>
      <c r="Q26" s="224"/>
      <c r="R26" s="224"/>
      <c r="S26" s="225">
        <f t="shared" si="2"/>
        <v>3.4968369520297551E-3</v>
      </c>
      <c r="T26" s="226"/>
      <c r="U26" s="227"/>
      <c r="V26" s="228"/>
      <c r="W26" s="229"/>
      <c r="X26" s="230"/>
      <c r="AA26" s="174">
        <f>F26+AA25</f>
        <v>7.6</v>
      </c>
      <c r="AC26" s="175"/>
      <c r="AE26" s="240"/>
      <c r="AF26" s="240"/>
      <c r="AG26" s="240"/>
      <c r="AH26" s="240"/>
    </row>
    <row r="27" spans="2:34" ht="12.95" customHeight="1">
      <c r="B27" s="218" t="s">
        <v>594</v>
      </c>
      <c r="C27" s="219"/>
      <c r="D27" s="219"/>
      <c r="E27" s="219"/>
      <c r="F27" s="220">
        <v>4.4000000000000004</v>
      </c>
      <c r="G27" s="221"/>
      <c r="H27" s="222"/>
      <c r="I27" s="173">
        <v>47</v>
      </c>
      <c r="J27" s="32" t="s">
        <v>5</v>
      </c>
      <c r="K27" s="173">
        <v>30</v>
      </c>
      <c r="L27" s="223">
        <f t="shared" ref="L27" si="3">IFERROR(IF(K27=30,I27,IF((50*30/K27)&gt;=300,"300",50*30/K27)),"")</f>
        <v>47</v>
      </c>
      <c r="M27" s="223"/>
      <c r="N27" s="223"/>
      <c r="O27" s="224">
        <f t="shared" ref="O27" si="4">IF(OR(AC27="",AC27=0),IFERROR(ROUND(65.64*L27^0.407,2),IF(OR(B27="연암층",B27="경암층",B27="보통암층",B27="기반암층"),760,"")),AC27)</f>
        <v>314.57</v>
      </c>
      <c r="P27" s="224"/>
      <c r="Q27" s="224"/>
      <c r="R27" s="224"/>
      <c r="S27" s="225">
        <f t="shared" si="2"/>
        <v>1.398734780811902E-2</v>
      </c>
      <c r="T27" s="226"/>
      <c r="U27" s="227"/>
      <c r="V27" s="228"/>
      <c r="W27" s="229"/>
      <c r="X27" s="230"/>
      <c r="AA27" s="174">
        <f t="shared" ref="AA27:AA33" si="5">F27+AA26</f>
        <v>12</v>
      </c>
      <c r="AC27" s="175"/>
    </row>
    <row r="28" spans="2:34" ht="12.95" customHeight="1">
      <c r="B28" s="218"/>
      <c r="C28" s="219"/>
      <c r="D28" s="219"/>
      <c r="E28" s="219"/>
      <c r="F28" s="220"/>
      <c r="G28" s="221"/>
      <c r="H28" s="222"/>
      <c r="I28" s="173"/>
      <c r="J28" s="32"/>
      <c r="K28" s="173"/>
      <c r="L28" s="223" t="str">
        <f t="shared" ref="L28" si="6">IFERROR(IF(K28=30,I28,IF((50*30/K28)&gt;=300,"300",50*30/K28)),"")</f>
        <v/>
      </c>
      <c r="M28" s="223"/>
      <c r="N28" s="223"/>
      <c r="O28" s="224" t="str">
        <f t="shared" ref="O28" si="7">IF(OR(AC28="",AC28=0),IFERROR(ROUND(65.64*L28^0.407,2),IF(OR(B28="연암층",B28="경암층",B28="보통암층",B28="기반암층"),760,"")),AC28)</f>
        <v/>
      </c>
      <c r="P28" s="224"/>
      <c r="Q28" s="224"/>
      <c r="R28" s="224"/>
      <c r="S28" s="225" t="str">
        <f t="shared" ref="S28:S29" si="8">IFERROR(F28/O28,"-")</f>
        <v>-</v>
      </c>
      <c r="T28" s="226"/>
      <c r="U28" s="227"/>
      <c r="V28" s="228"/>
      <c r="W28" s="229"/>
      <c r="X28" s="230"/>
      <c r="AA28" s="174">
        <f t="shared" si="5"/>
        <v>12</v>
      </c>
      <c r="AC28" s="175"/>
      <c r="AE28" s="240"/>
      <c r="AF28" s="240"/>
      <c r="AG28" s="240"/>
      <c r="AH28" s="240"/>
    </row>
    <row r="29" spans="2:34" ht="12.95" customHeight="1">
      <c r="B29" s="218"/>
      <c r="C29" s="219"/>
      <c r="D29" s="219"/>
      <c r="E29" s="219"/>
      <c r="F29" s="220"/>
      <c r="G29" s="221"/>
      <c r="H29" s="222"/>
      <c r="I29" s="173"/>
      <c r="J29" s="32"/>
      <c r="K29" s="173"/>
      <c r="L29" s="223" t="str">
        <f>IFERROR(IF(K29=30,I29,IF((50*30/K29)&gt;=300,"300",50*30/K29)),"")</f>
        <v/>
      </c>
      <c r="M29" s="223"/>
      <c r="N29" s="223"/>
      <c r="O29" s="224" t="str">
        <f>IF(OR(AC29="",AC29=0),IFERROR(ROUND(65.64*L29^0.407,2),IF(OR(B29="연암층",B29="경암층",B29="보통암층",B29="기반암층"),760,"")),AC29)</f>
        <v/>
      </c>
      <c r="P29" s="224"/>
      <c r="Q29" s="224"/>
      <c r="R29" s="224"/>
      <c r="S29" s="225" t="str">
        <f t="shared" si="8"/>
        <v>-</v>
      </c>
      <c r="T29" s="226"/>
      <c r="U29" s="227"/>
      <c r="V29" s="228"/>
      <c r="W29" s="229"/>
      <c r="X29" s="230"/>
      <c r="AA29" s="174">
        <f t="shared" si="5"/>
        <v>12</v>
      </c>
      <c r="AC29" s="175"/>
    </row>
    <row r="30" spans="2:34" ht="12.95" customHeight="1">
      <c r="B30" s="218"/>
      <c r="C30" s="219"/>
      <c r="D30" s="219"/>
      <c r="E30" s="219"/>
      <c r="F30" s="220"/>
      <c r="G30" s="221"/>
      <c r="H30" s="222"/>
      <c r="I30" s="173"/>
      <c r="J30" s="32"/>
      <c r="K30" s="173"/>
      <c r="L30" s="223" t="str">
        <f>IFERROR(IF(K30=30,I30,IF((50*30/K30)&gt;=300,"300",50*30/K30)),"")</f>
        <v/>
      </c>
      <c r="M30" s="223"/>
      <c r="N30" s="223"/>
      <c r="O30" s="224" t="str">
        <f>IF(OR(AC30="",AC30=0),IFERROR(ROUND(65.64*L30^0.407,2),IF(OR(B30="연암층",B30="경암층",B30="보통암층",B30="기반암층"),760,"")),AC30)</f>
        <v/>
      </c>
      <c r="P30" s="224"/>
      <c r="Q30" s="224"/>
      <c r="R30" s="224"/>
      <c r="S30" s="225" t="str">
        <f t="shared" ref="S30" si="9">IFERROR(F30/O30,"-")</f>
        <v>-</v>
      </c>
      <c r="T30" s="226"/>
      <c r="U30" s="227"/>
      <c r="V30" s="228"/>
      <c r="W30" s="229"/>
      <c r="X30" s="230"/>
      <c r="AA30" s="174">
        <f t="shared" si="5"/>
        <v>12</v>
      </c>
      <c r="AC30" s="175"/>
      <c r="AE30" s="240"/>
      <c r="AF30" s="240"/>
      <c r="AG30" s="240"/>
      <c r="AH30" s="240"/>
    </row>
    <row r="31" spans="2:34" ht="12.95" customHeight="1">
      <c r="B31" s="242"/>
      <c r="C31" s="243"/>
      <c r="D31" s="243"/>
      <c r="E31" s="244"/>
      <c r="F31" s="220"/>
      <c r="G31" s="221"/>
      <c r="H31" s="222"/>
      <c r="I31" s="173"/>
      <c r="J31" s="32" t="s">
        <v>5</v>
      </c>
      <c r="K31" s="173"/>
      <c r="L31" s="223" t="str">
        <f>IFERROR(IF(K31=30,I31,IF((50*30/K31)&gt;=300,"300",50*30/K31)),"")</f>
        <v/>
      </c>
      <c r="M31" s="223"/>
      <c r="N31" s="223"/>
      <c r="O31" s="224" t="str">
        <f>IF(OR(AC31="",AC31=0),IFERROR(ROUND(65.64*L31^0.407,2),IF(OR(B31="연암층",B31="경암층",B31="보통암층",B31="기반암층"),760,"")),AC31)</f>
        <v/>
      </c>
      <c r="P31" s="224"/>
      <c r="Q31" s="224"/>
      <c r="R31" s="224"/>
      <c r="S31" s="225" t="str">
        <f t="shared" si="2"/>
        <v>-</v>
      </c>
      <c r="T31" s="226"/>
      <c r="U31" s="227"/>
      <c r="V31" s="228"/>
      <c r="W31" s="229"/>
      <c r="X31" s="230"/>
      <c r="AA31" s="174">
        <f t="shared" si="5"/>
        <v>12</v>
      </c>
      <c r="AC31" s="175"/>
      <c r="AE31" s="240"/>
      <c r="AF31" s="240"/>
      <c r="AG31" s="240"/>
      <c r="AH31" s="240"/>
    </row>
    <row r="32" spans="2:34" ht="12.95" customHeight="1">
      <c r="B32" s="242"/>
      <c r="C32" s="243"/>
      <c r="D32" s="243"/>
      <c r="E32" s="244"/>
      <c r="F32" s="220"/>
      <c r="G32" s="221"/>
      <c r="H32" s="222"/>
      <c r="I32" s="173"/>
      <c r="J32" s="32" t="s">
        <v>5</v>
      </c>
      <c r="K32" s="173"/>
      <c r="L32" s="223" t="str">
        <f t="shared" si="0"/>
        <v/>
      </c>
      <c r="M32" s="223"/>
      <c r="N32" s="223"/>
      <c r="O32" s="224" t="str">
        <f t="shared" si="1"/>
        <v/>
      </c>
      <c r="P32" s="224"/>
      <c r="Q32" s="224"/>
      <c r="R32" s="224"/>
      <c r="S32" s="225" t="str">
        <f t="shared" si="2"/>
        <v>-</v>
      </c>
      <c r="T32" s="226"/>
      <c r="U32" s="227"/>
      <c r="V32" s="228"/>
      <c r="W32" s="229"/>
      <c r="X32" s="230"/>
      <c r="AA32" s="174">
        <f t="shared" si="5"/>
        <v>12</v>
      </c>
      <c r="AC32" s="175"/>
    </row>
    <row r="33" spans="1:34" ht="12.95" customHeight="1">
      <c r="B33" s="242"/>
      <c r="C33" s="243"/>
      <c r="D33" s="243"/>
      <c r="E33" s="244"/>
      <c r="F33" s="241"/>
      <c r="G33" s="241"/>
      <c r="H33" s="241"/>
      <c r="I33" s="173"/>
      <c r="J33" s="32" t="s">
        <v>5</v>
      </c>
      <c r="K33" s="173"/>
      <c r="L33" s="223" t="str">
        <f>IFERROR(IF(K33=30,I33,IF((50*30/K33)&gt;=300,"300",50*30/K33)),"")</f>
        <v/>
      </c>
      <c r="M33" s="223"/>
      <c r="N33" s="223"/>
      <c r="O33" s="224" t="str">
        <f>IF(OR(AC33="",AC33=0),IFERROR(ROUND(65.64*L33^0.407,2),IF(OR(B33="연암층",B33="경암층",B33="보통암층",B33="기반암층"),760,"")),AC33)</f>
        <v/>
      </c>
      <c r="P33" s="224"/>
      <c r="Q33" s="224"/>
      <c r="R33" s="224"/>
      <c r="S33" s="225" t="str">
        <f t="shared" si="2"/>
        <v>-</v>
      </c>
      <c r="T33" s="226"/>
      <c r="U33" s="227"/>
      <c r="V33" s="228"/>
      <c r="W33" s="229"/>
      <c r="X33" s="230"/>
      <c r="AA33" s="174">
        <f t="shared" si="5"/>
        <v>12</v>
      </c>
      <c r="AC33" s="175"/>
      <c r="AE33" s="240"/>
      <c r="AF33" s="240"/>
      <c r="AG33" s="240"/>
      <c r="AH33" s="240"/>
    </row>
    <row r="34" spans="1:34" ht="12.95" customHeight="1">
      <c r="B34" s="242"/>
      <c r="C34" s="243"/>
      <c r="D34" s="243"/>
      <c r="E34" s="244"/>
      <c r="F34" s="220"/>
      <c r="G34" s="221"/>
      <c r="H34" s="222"/>
      <c r="I34" s="173"/>
      <c r="J34" s="32" t="s">
        <v>5</v>
      </c>
      <c r="K34" s="173"/>
      <c r="L34" s="223" t="str">
        <f t="shared" ref="L34" si="10">IFERROR(IF(K34=30,I34,IF((50*30/K34)&gt;=300,"300",50*30/K34)),"")</f>
        <v/>
      </c>
      <c r="M34" s="223"/>
      <c r="N34" s="223"/>
      <c r="O34" s="224" t="str">
        <f t="shared" ref="O34" si="11">IF(OR(AC34="",AC34=0),IFERROR(ROUND(65.64*L34^0.407,2),IF(OR(B34="연암층",B34="경암층",B34="보통암층",B34="기반암층"),760,"")),AC34)</f>
        <v/>
      </c>
      <c r="P34" s="224"/>
      <c r="Q34" s="224"/>
      <c r="R34" s="224"/>
      <c r="S34" s="225" t="str">
        <f t="shared" si="2"/>
        <v>-</v>
      </c>
      <c r="T34" s="226"/>
      <c r="U34" s="227"/>
      <c r="V34" s="228"/>
      <c r="W34" s="229"/>
      <c r="X34" s="230"/>
      <c r="AC34" s="175"/>
    </row>
    <row r="35" spans="1:34" ht="12.95" customHeight="1">
      <c r="B35" s="218"/>
      <c r="C35" s="219"/>
      <c r="D35" s="219"/>
      <c r="E35" s="219"/>
      <c r="F35" s="241"/>
      <c r="G35" s="241"/>
      <c r="H35" s="241"/>
      <c r="I35" s="173"/>
      <c r="J35" s="32" t="s">
        <v>5</v>
      </c>
      <c r="K35" s="173"/>
      <c r="L35" s="223" t="str">
        <f>IFERROR(IF(K35=30,I35,IF((50*30/K35)&gt;=300,"300",50*30/K35)),"")</f>
        <v/>
      </c>
      <c r="M35" s="223"/>
      <c r="N35" s="223"/>
      <c r="O35" s="224" t="str">
        <f>IF(OR(AC35="",AC35=0),IFERROR(ROUND(65.64*L35^0.407,2),IF(OR(B35="연암층",B35="경암층",B35="보통암층",B35="기반암층"),760,"")),AC35)</f>
        <v/>
      </c>
      <c r="P35" s="224"/>
      <c r="Q35" s="224"/>
      <c r="R35" s="224"/>
      <c r="S35" s="225" t="str">
        <f t="shared" si="2"/>
        <v>-</v>
      </c>
      <c r="T35" s="226"/>
      <c r="U35" s="227"/>
      <c r="V35" s="228"/>
      <c r="W35" s="229"/>
      <c r="X35" s="230"/>
      <c r="AC35" s="175"/>
      <c r="AE35" s="240"/>
      <c r="AF35" s="240"/>
      <c r="AG35" s="240"/>
      <c r="AH35" s="240"/>
    </row>
    <row r="36" spans="1:34" ht="12.95" customHeight="1">
      <c r="B36" s="218"/>
      <c r="C36" s="219"/>
      <c r="D36" s="219"/>
      <c r="E36" s="219"/>
      <c r="F36" s="241"/>
      <c r="G36" s="241"/>
      <c r="H36" s="241"/>
      <c r="I36" s="173"/>
      <c r="J36" s="32" t="s">
        <v>5</v>
      </c>
      <c r="K36" s="173"/>
      <c r="L36" s="223" t="str">
        <f t="shared" ref="L36" si="12">IFERROR(IF(K36=30,I36,IF((50*30/K36)&gt;=300,"300",50*30/K36)),"")</f>
        <v/>
      </c>
      <c r="M36" s="223"/>
      <c r="N36" s="223"/>
      <c r="O36" s="224" t="str">
        <f t="shared" ref="O36" si="13">IF(OR(AC36="",AC36=0),IFERROR(ROUND(65.64*L36^0.407,2),IF(OR(B36="연암층",B36="경암층",B36="보통암층",B36="기반암층"),760,"")),AC36)</f>
        <v/>
      </c>
      <c r="P36" s="224"/>
      <c r="Q36" s="224"/>
      <c r="R36" s="224"/>
      <c r="S36" s="225" t="str">
        <f t="shared" si="2"/>
        <v>-</v>
      </c>
      <c r="T36" s="226"/>
      <c r="U36" s="227"/>
      <c r="V36" s="228"/>
      <c r="W36" s="229"/>
      <c r="X36" s="230"/>
      <c r="AC36" s="175"/>
    </row>
    <row r="37" spans="1:34" ht="12.95" customHeight="1">
      <c r="B37" s="218"/>
      <c r="C37" s="219"/>
      <c r="D37" s="219"/>
      <c r="E37" s="219"/>
      <c r="F37" s="241"/>
      <c r="G37" s="241"/>
      <c r="H37" s="241"/>
      <c r="I37" s="173"/>
      <c r="J37" s="32" t="s">
        <v>5</v>
      </c>
      <c r="K37" s="173"/>
      <c r="L37" s="223" t="str">
        <f>IFERROR(IF(K37=30,I37,IF((50*30/K37)&gt;=300,"300",50*30/K37)),"")</f>
        <v/>
      </c>
      <c r="M37" s="223"/>
      <c r="N37" s="223"/>
      <c r="O37" s="224" t="str">
        <f>IF(OR(AC37="",AC37=0),IFERROR(ROUND(65.64*L37^0.407,2),IF(OR(B37="연암층",B37="경암층",B37="보통암층",B37="기반암층"),760,"")),AC37)</f>
        <v/>
      </c>
      <c r="P37" s="224"/>
      <c r="Q37" s="224"/>
      <c r="R37" s="224"/>
      <c r="S37" s="225" t="str">
        <f t="shared" si="2"/>
        <v>-</v>
      </c>
      <c r="T37" s="226"/>
      <c r="U37" s="227"/>
      <c r="V37" s="228"/>
      <c r="W37" s="229"/>
      <c r="X37" s="230"/>
      <c r="AC37" s="175"/>
      <c r="AE37" s="240"/>
      <c r="AF37" s="240"/>
      <c r="AG37" s="240"/>
      <c r="AH37" s="240"/>
    </row>
    <row r="38" spans="1:34" ht="12.95" customHeight="1">
      <c r="B38" s="218"/>
      <c r="C38" s="219"/>
      <c r="D38" s="219"/>
      <c r="E38" s="219"/>
      <c r="F38" s="241"/>
      <c r="G38" s="241"/>
      <c r="H38" s="241"/>
      <c r="I38" s="173"/>
      <c r="J38" s="32" t="s">
        <v>5</v>
      </c>
      <c r="K38" s="173"/>
      <c r="L38" s="223" t="str">
        <f t="shared" si="0"/>
        <v/>
      </c>
      <c r="M38" s="223"/>
      <c r="N38" s="223"/>
      <c r="O38" s="224" t="str">
        <f t="shared" si="1"/>
        <v/>
      </c>
      <c r="P38" s="224"/>
      <c r="Q38" s="224"/>
      <c r="R38" s="224"/>
      <c r="S38" s="225" t="str">
        <f t="shared" si="2"/>
        <v>-</v>
      </c>
      <c r="T38" s="226"/>
      <c r="U38" s="227"/>
      <c r="V38" s="228"/>
      <c r="W38" s="229"/>
      <c r="X38" s="230"/>
      <c r="AC38" s="175"/>
    </row>
    <row r="39" spans="1:34" ht="12.95" customHeight="1">
      <c r="B39" s="218"/>
      <c r="C39" s="219"/>
      <c r="D39" s="219"/>
      <c r="E39" s="219"/>
      <c r="F39" s="241"/>
      <c r="G39" s="241"/>
      <c r="H39" s="241"/>
      <c r="I39" s="173"/>
      <c r="J39" s="32" t="s">
        <v>5</v>
      </c>
      <c r="K39" s="173"/>
      <c r="L39" s="223" t="str">
        <f>IFERROR(IF(K39=30,I39,IF((50*30/K39)&gt;=300,"300",50*30/K39)),"")</f>
        <v/>
      </c>
      <c r="M39" s="223"/>
      <c r="N39" s="223"/>
      <c r="O39" s="224" t="str">
        <f>IF(OR(AC39="",AC39=0),IFERROR(ROUND(65.64*L39^0.407,2),IF(OR(B39="연암층",B39="경암층",B39="보통암층",B39="기반암층"),760,"")),AC39)</f>
        <v/>
      </c>
      <c r="P39" s="224"/>
      <c r="Q39" s="224"/>
      <c r="R39" s="224"/>
      <c r="S39" s="225" t="str">
        <f t="shared" si="2"/>
        <v>-</v>
      </c>
      <c r="T39" s="226"/>
      <c r="U39" s="227"/>
      <c r="V39" s="228"/>
      <c r="W39" s="229"/>
      <c r="X39" s="230"/>
      <c r="AC39" s="175"/>
      <c r="AE39" s="240"/>
      <c r="AF39" s="240"/>
      <c r="AG39" s="240"/>
      <c r="AH39" s="240"/>
    </row>
    <row r="40" spans="1:34" ht="12.95" customHeight="1" thickBot="1">
      <c r="B40" s="245"/>
      <c r="C40" s="246"/>
      <c r="D40" s="246"/>
      <c r="E40" s="246"/>
      <c r="F40" s="247"/>
      <c r="G40" s="247"/>
      <c r="H40" s="247"/>
      <c r="I40" s="176"/>
      <c r="J40" s="33" t="s">
        <v>5</v>
      </c>
      <c r="K40" s="176"/>
      <c r="L40" s="248" t="str">
        <f>IFERROR(IF(K40=30,I40,IF((50*30/K40)&gt;=300,"300",50*30/K40)),"")</f>
        <v/>
      </c>
      <c r="M40" s="248"/>
      <c r="N40" s="248"/>
      <c r="O40" s="249" t="str">
        <f>IF(OR(AC40="",AC40=0),IFERROR(ROUND(65.64*L40^0.407,2),IF(OR(B40="연암층",B40="경암층",B40="보통암층",B40="기반암층"),760,"")),AC40)</f>
        <v/>
      </c>
      <c r="P40" s="249"/>
      <c r="Q40" s="249"/>
      <c r="R40" s="249"/>
      <c r="S40" s="250" t="str">
        <f t="shared" si="2"/>
        <v>-</v>
      </c>
      <c r="T40" s="251"/>
      <c r="U40" s="252"/>
      <c r="V40" s="253"/>
      <c r="W40" s="254"/>
      <c r="X40" s="255"/>
      <c r="AC40" s="177"/>
    </row>
    <row r="41" spans="1:34" ht="12.95" customHeight="1">
      <c r="B41" s="5" t="s">
        <v>45</v>
      </c>
    </row>
    <row r="42" spans="1:34" ht="12.95" customHeight="1">
      <c r="B42" s="28" t="s">
        <v>46</v>
      </c>
    </row>
    <row r="43" spans="1:34" ht="12.95" customHeight="1">
      <c r="B43" s="28" t="s">
        <v>47</v>
      </c>
    </row>
    <row r="44" spans="1:34" ht="12.95" customHeight="1">
      <c r="B44" s="5" t="s">
        <v>101</v>
      </c>
    </row>
    <row r="45" spans="1:34" ht="12.95" customHeight="1">
      <c r="B45" s="5" t="s">
        <v>100</v>
      </c>
    </row>
    <row r="46" spans="1:34" ht="4.5" customHeight="1"/>
    <row r="47" spans="1:34" ht="12.95" customHeight="1">
      <c r="A47" s="5" t="s">
        <v>217</v>
      </c>
      <c r="C47" s="8"/>
      <c r="F47" s="153"/>
      <c r="AA47" s="10"/>
      <c r="AC47" s="5"/>
    </row>
    <row r="48" spans="1:34" ht="12.95" customHeight="1">
      <c r="B48" s="5" t="s">
        <v>51</v>
      </c>
      <c r="H48" s="5" t="s">
        <v>126</v>
      </c>
      <c r="AA48" s="10"/>
      <c r="AC48" s="5"/>
    </row>
    <row r="49" spans="2:29" ht="9.9499999999999993" customHeight="1">
      <c r="AA49" s="10"/>
      <c r="AC49" s="5"/>
    </row>
    <row r="50" spans="2:29" ht="12.95" customHeight="1">
      <c r="B50" s="5" t="s">
        <v>16</v>
      </c>
      <c r="AA50" s="10"/>
      <c r="AC50" s="5"/>
    </row>
    <row r="51" spans="2:29" ht="15" customHeight="1">
      <c r="B51" s="256" t="s">
        <v>17</v>
      </c>
      <c r="C51" s="257"/>
      <c r="D51" s="257"/>
      <c r="E51" s="258" t="s">
        <v>18</v>
      </c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 t="s">
        <v>19</v>
      </c>
      <c r="U51" s="258"/>
      <c r="V51" s="258"/>
      <c r="W51" s="258"/>
      <c r="X51" s="258"/>
      <c r="Y51" s="259"/>
      <c r="AA51" s="10"/>
      <c r="AC51" s="5"/>
    </row>
    <row r="52" spans="2:29" ht="12" customHeight="1">
      <c r="B52" s="260" t="s">
        <v>20</v>
      </c>
      <c r="C52" s="261"/>
      <c r="D52" s="261"/>
      <c r="E52" s="264" t="s">
        <v>21</v>
      </c>
      <c r="F52" s="264"/>
      <c r="G52" s="266" t="s">
        <v>22</v>
      </c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7">
        <v>0.11</v>
      </c>
      <c r="U52" s="267"/>
      <c r="V52" s="267"/>
      <c r="W52" s="267"/>
      <c r="X52" s="267"/>
      <c r="Y52" s="268"/>
      <c r="AA52" s="10"/>
      <c r="AC52" s="5"/>
    </row>
    <row r="53" spans="2:29" ht="12" customHeight="1">
      <c r="B53" s="262"/>
      <c r="C53" s="263"/>
      <c r="D53" s="263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9"/>
      <c r="U53" s="269"/>
      <c r="V53" s="269"/>
      <c r="W53" s="269"/>
      <c r="X53" s="269"/>
      <c r="Y53" s="270"/>
      <c r="AA53" s="10"/>
      <c r="AC53" s="5"/>
    </row>
    <row r="54" spans="2:29" ht="12" customHeight="1">
      <c r="B54" s="262"/>
      <c r="C54" s="263"/>
      <c r="D54" s="263"/>
      <c r="E54" s="265" t="s">
        <v>23</v>
      </c>
      <c r="F54" s="265"/>
      <c r="G54" s="271" t="s">
        <v>127</v>
      </c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9"/>
      <c r="U54" s="269"/>
      <c r="V54" s="269"/>
      <c r="W54" s="269"/>
      <c r="X54" s="269"/>
      <c r="Y54" s="270"/>
      <c r="AA54" s="10"/>
      <c r="AC54" s="5"/>
    </row>
    <row r="55" spans="2:29" ht="12" customHeight="1">
      <c r="B55" s="262"/>
      <c r="C55" s="263"/>
      <c r="D55" s="263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9"/>
      <c r="U55" s="269"/>
      <c r="V55" s="269"/>
      <c r="W55" s="269"/>
      <c r="X55" s="269"/>
      <c r="Y55" s="270"/>
      <c r="AA55" s="10"/>
      <c r="AC55" s="5"/>
    </row>
    <row r="56" spans="2:29" ht="8.1" customHeight="1">
      <c r="B56" s="284" t="s">
        <v>24</v>
      </c>
      <c r="C56" s="285"/>
      <c r="D56" s="285"/>
      <c r="E56" s="285" t="s">
        <v>23</v>
      </c>
      <c r="F56" s="285"/>
      <c r="G56" s="285" t="s">
        <v>25</v>
      </c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>
        <v>7.0000000000000007E-2</v>
      </c>
      <c r="U56" s="285"/>
      <c r="V56" s="285"/>
      <c r="W56" s="285"/>
      <c r="X56" s="285"/>
      <c r="Y56" s="288"/>
      <c r="AA56" s="10"/>
      <c r="AC56" s="5"/>
    </row>
    <row r="57" spans="2:29" ht="8.1" customHeight="1">
      <c r="B57" s="286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9"/>
      <c r="AA57" s="10"/>
      <c r="AC57" s="5"/>
    </row>
    <row r="58" spans="2:29" ht="9.9499999999999993" customHeight="1">
      <c r="AA58" s="10"/>
      <c r="AC58" s="5"/>
    </row>
    <row r="59" spans="2:29" ht="12.95" customHeight="1">
      <c r="B59" s="5" t="s">
        <v>26</v>
      </c>
      <c r="AA59" s="10"/>
      <c r="AC59" s="5"/>
    </row>
    <row r="60" spans="2:29" ht="12.95" customHeight="1">
      <c r="B60" s="234" t="s">
        <v>27</v>
      </c>
      <c r="C60" s="235"/>
      <c r="D60" s="235"/>
      <c r="E60" s="235"/>
      <c r="F60" s="235"/>
      <c r="G60" s="235" t="s">
        <v>6</v>
      </c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 t="s">
        <v>28</v>
      </c>
      <c r="U60" s="235"/>
      <c r="V60" s="235"/>
      <c r="W60" s="235"/>
      <c r="X60" s="235"/>
      <c r="Y60" s="292"/>
      <c r="AA60" s="10"/>
      <c r="AC60" s="5"/>
    </row>
    <row r="61" spans="2:29" ht="15" customHeight="1">
      <c r="B61" s="290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 t="s">
        <v>14</v>
      </c>
      <c r="U61" s="291"/>
      <c r="V61" s="291"/>
      <c r="W61" s="291" t="s">
        <v>15</v>
      </c>
      <c r="X61" s="291"/>
      <c r="Y61" s="293"/>
      <c r="AC61" s="5"/>
    </row>
    <row r="62" spans="2:29" ht="12" customHeight="1">
      <c r="B62" s="260" t="s">
        <v>29</v>
      </c>
      <c r="C62" s="267"/>
      <c r="D62" s="267"/>
      <c r="E62" s="267"/>
      <c r="F62" s="267"/>
      <c r="G62" s="273" t="s">
        <v>30</v>
      </c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67" t="s">
        <v>37</v>
      </c>
      <c r="U62" s="267"/>
      <c r="V62" s="267"/>
      <c r="W62" s="267" t="s">
        <v>31</v>
      </c>
      <c r="X62" s="267"/>
      <c r="Y62" s="268"/>
      <c r="AC62" s="5"/>
    </row>
    <row r="63" spans="2:29" ht="11.1" customHeight="1">
      <c r="B63" s="272"/>
      <c r="C63" s="269"/>
      <c r="D63" s="269"/>
      <c r="E63" s="269"/>
      <c r="F63" s="269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69"/>
      <c r="U63" s="269"/>
      <c r="V63" s="269"/>
      <c r="W63" s="269"/>
      <c r="X63" s="269"/>
      <c r="Y63" s="270"/>
      <c r="AC63" s="5"/>
    </row>
    <row r="64" spans="2:29" ht="11.1" customHeight="1">
      <c r="B64" s="272"/>
      <c r="C64" s="269"/>
      <c r="D64" s="269"/>
      <c r="E64" s="269"/>
      <c r="F64" s="269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69"/>
      <c r="U64" s="269"/>
      <c r="V64" s="269"/>
      <c r="W64" s="269"/>
      <c r="X64" s="269"/>
      <c r="Y64" s="270"/>
      <c r="AC64" s="5"/>
    </row>
    <row r="65" spans="2:30" ht="12" customHeight="1">
      <c r="B65" s="272"/>
      <c r="C65" s="269"/>
      <c r="D65" s="269"/>
      <c r="E65" s="269"/>
      <c r="F65" s="269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69"/>
      <c r="U65" s="269"/>
      <c r="V65" s="269"/>
      <c r="W65" s="269"/>
      <c r="X65" s="269"/>
      <c r="Y65" s="270"/>
      <c r="AC65" s="5"/>
    </row>
    <row r="66" spans="2:30" ht="8.1" customHeight="1">
      <c r="B66" s="275" t="s">
        <v>32</v>
      </c>
      <c r="C66" s="276"/>
      <c r="D66" s="276"/>
      <c r="E66" s="276"/>
      <c r="F66" s="276"/>
      <c r="G66" s="279" t="s">
        <v>33</v>
      </c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76" t="s">
        <v>36</v>
      </c>
      <c r="U66" s="276"/>
      <c r="V66" s="276"/>
      <c r="W66" s="276" t="s">
        <v>34</v>
      </c>
      <c r="X66" s="276"/>
      <c r="Y66" s="282"/>
      <c r="AC66" s="5"/>
    </row>
    <row r="67" spans="2:30" ht="8.1" customHeight="1">
      <c r="B67" s="277"/>
      <c r="C67" s="278"/>
      <c r="D67" s="278"/>
      <c r="E67" s="278"/>
      <c r="F67" s="278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78"/>
      <c r="U67" s="278"/>
      <c r="V67" s="278"/>
      <c r="W67" s="278"/>
      <c r="X67" s="278"/>
      <c r="Y67" s="283"/>
      <c r="AC67" s="5"/>
    </row>
    <row r="68" spans="2:30" ht="9.9499999999999993" customHeight="1">
      <c r="B68" s="28"/>
      <c r="AA68" s="10"/>
      <c r="AC68" s="5"/>
    </row>
    <row r="69" spans="2:30" ht="12.75" customHeight="1">
      <c r="B69" s="5" t="s">
        <v>35</v>
      </c>
      <c r="AA69" s="10"/>
      <c r="AC69" s="5"/>
    </row>
    <row r="70" spans="2:30" ht="15" customHeight="1">
      <c r="B70" s="256" t="s">
        <v>28</v>
      </c>
      <c r="C70" s="258"/>
      <c r="D70" s="258"/>
      <c r="E70" s="258" t="s">
        <v>36</v>
      </c>
      <c r="F70" s="258"/>
      <c r="G70" s="258"/>
      <c r="H70" s="258" t="s">
        <v>37</v>
      </c>
      <c r="I70" s="258"/>
      <c r="J70" s="258"/>
      <c r="K70" s="258" t="s">
        <v>38</v>
      </c>
      <c r="L70" s="258"/>
      <c r="M70" s="258"/>
      <c r="N70" s="258" t="s">
        <v>34</v>
      </c>
      <c r="O70" s="258"/>
      <c r="P70" s="258"/>
      <c r="Q70" s="258" t="s">
        <v>31</v>
      </c>
      <c r="R70" s="258"/>
      <c r="S70" s="258"/>
      <c r="T70" s="258" t="s">
        <v>39</v>
      </c>
      <c r="U70" s="258"/>
      <c r="V70" s="258"/>
      <c r="W70" s="258" t="s">
        <v>40</v>
      </c>
      <c r="X70" s="258"/>
      <c r="Y70" s="259"/>
      <c r="AA70" s="10"/>
      <c r="AC70" s="5"/>
    </row>
    <row r="71" spans="2:30" ht="15" customHeight="1">
      <c r="B71" s="301" t="s">
        <v>41</v>
      </c>
      <c r="C71" s="302"/>
      <c r="D71" s="302"/>
      <c r="E71" s="302">
        <v>0.4</v>
      </c>
      <c r="F71" s="302"/>
      <c r="G71" s="302"/>
      <c r="H71" s="303">
        <v>0.56999999999999995</v>
      </c>
      <c r="I71" s="303"/>
      <c r="J71" s="303"/>
      <c r="K71" s="302">
        <v>0.73</v>
      </c>
      <c r="L71" s="302"/>
      <c r="M71" s="302"/>
      <c r="N71" s="304">
        <v>1</v>
      </c>
      <c r="O71" s="304"/>
      <c r="P71" s="304"/>
      <c r="Q71" s="305">
        <v>1.4</v>
      </c>
      <c r="R71" s="305"/>
      <c r="S71" s="305"/>
      <c r="T71" s="304">
        <v>2</v>
      </c>
      <c r="U71" s="304"/>
      <c r="V71" s="304"/>
      <c r="W71" s="304">
        <v>2.6</v>
      </c>
      <c r="X71" s="304"/>
      <c r="Y71" s="306"/>
      <c r="AA71" s="10"/>
      <c r="AC71" s="5"/>
    </row>
    <row r="72" spans="2:30" ht="9.9499999999999993" customHeight="1">
      <c r="AA72" s="10"/>
      <c r="AC72" s="5"/>
    </row>
    <row r="73" spans="2:30" ht="12.95" customHeight="1">
      <c r="B73" s="5" t="s">
        <v>52</v>
      </c>
      <c r="AA73" s="10"/>
      <c r="AC73" s="5"/>
    </row>
    <row r="74" spans="2:30" ht="12.95" customHeight="1">
      <c r="B74" s="5" t="s">
        <v>192</v>
      </c>
      <c r="J74" s="153" t="s">
        <v>0</v>
      </c>
      <c r="K74" s="294">
        <f>SUMIF(N78:Q84,"&lt;760",J78:M84)</f>
        <v>12</v>
      </c>
      <c r="L74" s="294"/>
      <c r="M74" s="294"/>
      <c r="N74" s="5" t="s">
        <v>8</v>
      </c>
      <c r="O74" s="5" t="str">
        <f>IF(K74&gt;20,"(기반암 깊이 20m 초과)","")</f>
        <v/>
      </c>
      <c r="AA74" s="10"/>
      <c r="AB74" s="41" t="s">
        <v>243</v>
      </c>
      <c r="AC74" s="5"/>
      <c r="AD74" s="178">
        <f>V5</f>
        <v>4.5</v>
      </c>
    </row>
    <row r="75" spans="2:30" ht="12.95" customHeight="1">
      <c r="B75" s="5" t="s">
        <v>189</v>
      </c>
      <c r="J75" s="153" t="s">
        <v>0</v>
      </c>
      <c r="K75" s="295">
        <f>K74/SUMIF(N78:N84,"&lt;760",R78:R84)</f>
        <v>148.49647320876127</v>
      </c>
      <c r="L75" s="295"/>
      <c r="M75" s="295"/>
      <c r="N75" s="5" t="s">
        <v>48</v>
      </c>
      <c r="AA75" s="10"/>
      <c r="AC75" s="5"/>
      <c r="AD75" s="41"/>
    </row>
    <row r="76" spans="2:30" ht="12.95" customHeight="1">
      <c r="B76" s="256" t="s">
        <v>42</v>
      </c>
      <c r="C76" s="258"/>
      <c r="D76" s="258"/>
      <c r="E76" s="258"/>
      <c r="F76" s="298" t="s">
        <v>187</v>
      </c>
      <c r="G76" s="298"/>
      <c r="H76" s="298"/>
      <c r="I76" s="298"/>
      <c r="J76" s="298" t="s">
        <v>124</v>
      </c>
      <c r="K76" s="298"/>
      <c r="L76" s="298"/>
      <c r="M76" s="298"/>
      <c r="N76" s="298" t="s">
        <v>606</v>
      </c>
      <c r="O76" s="258"/>
      <c r="P76" s="258"/>
      <c r="Q76" s="258"/>
      <c r="R76" s="258" t="s">
        <v>607</v>
      </c>
      <c r="S76" s="258"/>
      <c r="T76" s="258"/>
      <c r="U76" s="258"/>
      <c r="V76" s="258" t="s">
        <v>608</v>
      </c>
      <c r="W76" s="258"/>
      <c r="X76" s="258"/>
      <c r="Y76" s="259"/>
      <c r="AA76" s="10"/>
      <c r="AB76" s="308" t="s">
        <v>589</v>
      </c>
      <c r="AC76" s="309" t="s">
        <v>590</v>
      </c>
      <c r="AD76" s="309" t="s">
        <v>591</v>
      </c>
    </row>
    <row r="77" spans="2:30" ht="12.95" customHeight="1">
      <c r="B77" s="296"/>
      <c r="C77" s="297"/>
      <c r="D77" s="297"/>
      <c r="E77" s="297"/>
      <c r="F77" s="299"/>
      <c r="G77" s="299"/>
      <c r="H77" s="299"/>
      <c r="I77" s="299"/>
      <c r="J77" s="299"/>
      <c r="K77" s="299"/>
      <c r="L77" s="299"/>
      <c r="M77" s="299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7"/>
      <c r="AA77" s="10"/>
      <c r="AB77" s="308"/>
      <c r="AC77" s="308"/>
      <c r="AD77" s="308"/>
    </row>
    <row r="78" spans="2:30" ht="12.95" customHeight="1">
      <c r="B78" s="310" t="str">
        <f>IF(AB78=0,"",AB78)</f>
        <v>매립층</v>
      </c>
      <c r="C78" s="310"/>
      <c r="D78" s="310"/>
      <c r="E78" s="218"/>
      <c r="F78" s="311">
        <f>IF(B78="","",J78)</f>
        <v>6.5</v>
      </c>
      <c r="G78" s="312"/>
      <c r="H78" s="312"/>
      <c r="I78" s="312"/>
      <c r="J78" s="313">
        <f>AC78</f>
        <v>6.5</v>
      </c>
      <c r="K78" s="313"/>
      <c r="L78" s="313"/>
      <c r="M78" s="313"/>
      <c r="N78" s="313">
        <f>AD78</f>
        <v>102.65</v>
      </c>
      <c r="O78" s="313"/>
      <c r="P78" s="313"/>
      <c r="Q78" s="313"/>
      <c r="R78" s="314">
        <f t="shared" ref="R78:R84" si="14">IF(B78="","",ROUND(J78/N78,5))</f>
        <v>6.3320000000000001E-2</v>
      </c>
      <c r="S78" s="314"/>
      <c r="T78" s="314"/>
      <c r="U78" s="314"/>
      <c r="V78" s="326">
        <f t="shared" ref="V78:V84" si="15">IF(B78="","",ROUND(4*J78/N78,3))</f>
        <v>0.253</v>
      </c>
      <c r="W78" s="326"/>
      <c r="X78" s="326"/>
      <c r="Y78" s="327"/>
      <c r="AA78" s="10"/>
      <c r="AB78" s="179" t="str" cm="1">
        <f t="array" ref="AB78">IFERROR(INDEX($B$25:$B$40,MATCH(0,COUNTIFS(AB$76:$AB77,$B$25:$B$40),0)),"")</f>
        <v>매립층</v>
      </c>
      <c r="AC78" s="180">
        <f t="shared" ref="AC78:AC84" si="16">IF(OR(AB78="",AB78=0),"",SUMIF($B$25:$B$40,AB78,$F$25:$F$40))</f>
        <v>6.5</v>
      </c>
      <c r="AD78" s="180">
        <f t="shared" ref="AD78:AD84" si="17">IFERROR(SUMIF($B$25:$B$40,AB78,$F$25:$F$40)/SUMIF($B$25:$B$40,AB78,$S$25:$S$40),"")</f>
        <v>102.65</v>
      </c>
    </row>
    <row r="79" spans="2:30" ht="12.95" customHeight="1">
      <c r="B79" s="315" t="str">
        <f t="shared" ref="B79:B84" si="18">IF(AB79=0,"",AB79)</f>
        <v>퇴적층</v>
      </c>
      <c r="C79" s="229"/>
      <c r="D79" s="229"/>
      <c r="E79" s="229"/>
      <c r="F79" s="328">
        <f>IF(B79="","",F78+J79)</f>
        <v>7.6</v>
      </c>
      <c r="G79" s="329"/>
      <c r="H79" s="329"/>
      <c r="I79" s="330"/>
      <c r="J79" s="320">
        <f t="shared" ref="J79:J84" si="19">AC79</f>
        <v>1.1000000000000001</v>
      </c>
      <c r="K79" s="321"/>
      <c r="L79" s="321"/>
      <c r="M79" s="322"/>
      <c r="N79" s="320">
        <f t="shared" ref="N79:N84" si="20">AD79</f>
        <v>314.57</v>
      </c>
      <c r="O79" s="321"/>
      <c r="P79" s="321"/>
      <c r="Q79" s="322"/>
      <c r="R79" s="323">
        <f t="shared" si="14"/>
        <v>3.5000000000000001E-3</v>
      </c>
      <c r="S79" s="323"/>
      <c r="T79" s="323"/>
      <c r="U79" s="323"/>
      <c r="V79" s="324">
        <f t="shared" si="15"/>
        <v>1.4E-2</v>
      </c>
      <c r="W79" s="324"/>
      <c r="X79" s="324"/>
      <c r="Y79" s="325"/>
      <c r="AA79" s="10"/>
      <c r="AB79" s="179" t="str" cm="1">
        <f t="array" ref="AB79">IFERROR(INDEX($B$25:$B$40,MATCH(0,COUNTIFS(AB$76:$AB78,$B$25:$B$40),0)),"")</f>
        <v>퇴적층</v>
      </c>
      <c r="AC79" s="180">
        <f t="shared" si="16"/>
        <v>1.1000000000000001</v>
      </c>
      <c r="AD79" s="180">
        <f t="shared" si="17"/>
        <v>314.57</v>
      </c>
    </row>
    <row r="80" spans="2:30" ht="12.95" customHeight="1">
      <c r="B80" s="315" t="str">
        <f t="shared" si="18"/>
        <v>풍화토층</v>
      </c>
      <c r="C80" s="229"/>
      <c r="D80" s="229"/>
      <c r="E80" s="316"/>
      <c r="F80" s="317">
        <f t="shared" ref="F80:F84" si="21">IF(B80="","",F79+J80)</f>
        <v>12</v>
      </c>
      <c r="G80" s="318"/>
      <c r="H80" s="318"/>
      <c r="I80" s="319"/>
      <c r="J80" s="320">
        <f t="shared" si="19"/>
        <v>4.4000000000000004</v>
      </c>
      <c r="K80" s="321"/>
      <c r="L80" s="321"/>
      <c r="M80" s="322"/>
      <c r="N80" s="320">
        <f t="shared" si="20"/>
        <v>314.57</v>
      </c>
      <c r="O80" s="321"/>
      <c r="P80" s="321"/>
      <c r="Q80" s="322"/>
      <c r="R80" s="323">
        <f t="shared" si="14"/>
        <v>1.3990000000000001E-2</v>
      </c>
      <c r="S80" s="323"/>
      <c r="T80" s="323"/>
      <c r="U80" s="323"/>
      <c r="V80" s="324">
        <f t="shared" si="15"/>
        <v>5.6000000000000001E-2</v>
      </c>
      <c r="W80" s="324"/>
      <c r="X80" s="324"/>
      <c r="Y80" s="325"/>
      <c r="AA80" s="10"/>
      <c r="AB80" s="179" t="str" cm="1">
        <f t="array" ref="AB80">IFERROR(INDEX($B$25:$B$40,MATCH(0,COUNTIFS(AB$76:$AB79,$B$25:$B$40),0)),"")</f>
        <v>풍화토층</v>
      </c>
      <c r="AC80" s="180">
        <f t="shared" si="16"/>
        <v>4.4000000000000004</v>
      </c>
      <c r="AD80" s="180">
        <f t="shared" si="17"/>
        <v>314.57</v>
      </c>
    </row>
    <row r="81" spans="2:34" ht="12.95" customHeight="1">
      <c r="B81" s="315" t="str">
        <f t="shared" si="18"/>
        <v/>
      </c>
      <c r="C81" s="229"/>
      <c r="D81" s="229"/>
      <c r="E81" s="316"/>
      <c r="F81" s="317" t="str">
        <f t="shared" si="21"/>
        <v/>
      </c>
      <c r="G81" s="318"/>
      <c r="H81" s="318"/>
      <c r="I81" s="319"/>
      <c r="J81" s="320" t="str">
        <f t="shared" si="19"/>
        <v/>
      </c>
      <c r="K81" s="321"/>
      <c r="L81" s="321"/>
      <c r="M81" s="322"/>
      <c r="N81" s="320" t="str">
        <f t="shared" si="20"/>
        <v/>
      </c>
      <c r="O81" s="321"/>
      <c r="P81" s="321"/>
      <c r="Q81" s="322"/>
      <c r="R81" s="323" t="str">
        <f t="shared" si="14"/>
        <v/>
      </c>
      <c r="S81" s="323"/>
      <c r="T81" s="323"/>
      <c r="U81" s="323"/>
      <c r="V81" s="324" t="str">
        <f t="shared" si="15"/>
        <v/>
      </c>
      <c r="W81" s="324"/>
      <c r="X81" s="324"/>
      <c r="Y81" s="325"/>
      <c r="AA81" s="10"/>
      <c r="AB81" s="179" cm="1">
        <f t="array" ref="AB81">IFERROR(INDEX($B$25:$B$40,MATCH(0,COUNTIFS(AB$76:$AB80,$B$25:$B$40),0)),"")</f>
        <v>0</v>
      </c>
      <c r="AC81" s="180" t="str">
        <f t="shared" si="16"/>
        <v/>
      </c>
      <c r="AD81" s="180" t="str">
        <f t="shared" si="17"/>
        <v/>
      </c>
    </row>
    <row r="82" spans="2:34" ht="12.95" customHeight="1">
      <c r="B82" s="315" t="str">
        <f t="shared" si="18"/>
        <v/>
      </c>
      <c r="C82" s="229"/>
      <c r="D82" s="229"/>
      <c r="E82" s="316"/>
      <c r="F82" s="317" t="str">
        <f t="shared" si="21"/>
        <v/>
      </c>
      <c r="G82" s="318"/>
      <c r="H82" s="318"/>
      <c r="I82" s="319"/>
      <c r="J82" s="320" t="str">
        <f t="shared" si="19"/>
        <v/>
      </c>
      <c r="K82" s="321"/>
      <c r="L82" s="321"/>
      <c r="M82" s="322"/>
      <c r="N82" s="320" t="str">
        <f t="shared" si="20"/>
        <v/>
      </c>
      <c r="O82" s="321"/>
      <c r="P82" s="321"/>
      <c r="Q82" s="322"/>
      <c r="R82" s="323" t="str">
        <f t="shared" si="14"/>
        <v/>
      </c>
      <c r="S82" s="323"/>
      <c r="T82" s="323"/>
      <c r="U82" s="323"/>
      <c r="V82" s="324" t="str">
        <f t="shared" si="15"/>
        <v/>
      </c>
      <c r="W82" s="324"/>
      <c r="X82" s="324"/>
      <c r="Y82" s="325"/>
      <c r="AA82" s="10"/>
      <c r="AB82" s="179" t="str" cm="1">
        <f t="array" ref="AB82">IFERROR(INDEX($B$25:$B$40,MATCH(0,COUNTIFS(AB$76:$AB81,$B$25:$B$40),0)),"")</f>
        <v/>
      </c>
      <c r="AC82" s="180" t="str">
        <f t="shared" si="16"/>
        <v/>
      </c>
      <c r="AD82" s="180" t="str">
        <f t="shared" si="17"/>
        <v/>
      </c>
    </row>
    <row r="83" spans="2:34" ht="12.95" customHeight="1">
      <c r="B83" s="315" t="str">
        <f t="shared" si="18"/>
        <v/>
      </c>
      <c r="C83" s="229"/>
      <c r="D83" s="229"/>
      <c r="E83" s="316"/>
      <c r="F83" s="317" t="str">
        <f t="shared" si="21"/>
        <v/>
      </c>
      <c r="G83" s="318"/>
      <c r="H83" s="318"/>
      <c r="I83" s="319"/>
      <c r="J83" s="320" t="str">
        <f t="shared" si="19"/>
        <v/>
      </c>
      <c r="K83" s="321"/>
      <c r="L83" s="321"/>
      <c r="M83" s="322"/>
      <c r="N83" s="320" t="str">
        <f t="shared" si="20"/>
        <v/>
      </c>
      <c r="O83" s="321"/>
      <c r="P83" s="321"/>
      <c r="Q83" s="322"/>
      <c r="R83" s="323" t="str">
        <f t="shared" si="14"/>
        <v/>
      </c>
      <c r="S83" s="323"/>
      <c r="T83" s="323"/>
      <c r="U83" s="323"/>
      <c r="V83" s="324" t="str">
        <f t="shared" si="15"/>
        <v/>
      </c>
      <c r="W83" s="324"/>
      <c r="X83" s="324"/>
      <c r="Y83" s="325"/>
      <c r="AA83" s="10"/>
      <c r="AB83" s="179" t="str" cm="1">
        <f t="array" ref="AB83">IFERROR(INDEX($B$25:$B$40,MATCH(0,COUNTIFS(AB$76:$AB82,$B$25:$B$40),0)),"")</f>
        <v/>
      </c>
      <c r="AC83" s="180" t="str">
        <f t="shared" si="16"/>
        <v/>
      </c>
      <c r="AD83" s="180" t="str">
        <f t="shared" si="17"/>
        <v/>
      </c>
    </row>
    <row r="84" spans="2:34" ht="12.95" customHeight="1">
      <c r="B84" s="331" t="str">
        <f t="shared" si="18"/>
        <v/>
      </c>
      <c r="C84" s="254"/>
      <c r="D84" s="254"/>
      <c r="E84" s="332"/>
      <c r="F84" s="333" t="str">
        <f t="shared" si="21"/>
        <v/>
      </c>
      <c r="G84" s="334"/>
      <c r="H84" s="334"/>
      <c r="I84" s="335"/>
      <c r="J84" s="336" t="str">
        <f t="shared" si="19"/>
        <v/>
      </c>
      <c r="K84" s="337"/>
      <c r="L84" s="337"/>
      <c r="M84" s="338"/>
      <c r="N84" s="336" t="str">
        <f t="shared" si="20"/>
        <v/>
      </c>
      <c r="O84" s="337"/>
      <c r="P84" s="337"/>
      <c r="Q84" s="338"/>
      <c r="R84" s="339" t="str">
        <f t="shared" si="14"/>
        <v/>
      </c>
      <c r="S84" s="339"/>
      <c r="T84" s="339"/>
      <c r="U84" s="339"/>
      <c r="V84" s="340" t="str">
        <f t="shared" si="15"/>
        <v/>
      </c>
      <c r="W84" s="340"/>
      <c r="X84" s="340"/>
      <c r="Y84" s="341"/>
      <c r="AA84" s="10"/>
      <c r="AB84" s="179" t="str" cm="1">
        <f t="array" ref="AB84">IFERROR(INDEX($B$25:$B$40,MATCH(0,COUNTIFS(AB$76:$AB83,$B$25:$B$40),0)),"")</f>
        <v/>
      </c>
      <c r="AC84" s="180" t="str">
        <f t="shared" si="16"/>
        <v/>
      </c>
      <c r="AD84" s="180" t="str">
        <f t="shared" si="17"/>
        <v/>
      </c>
    </row>
    <row r="85" spans="2:34" ht="12.95" customHeight="1">
      <c r="B85" s="90" t="s">
        <v>562</v>
      </c>
      <c r="AA85" s="10"/>
      <c r="AC85" s="5"/>
    </row>
    <row r="86" spans="2:34" ht="12.95" customHeight="1">
      <c r="B86" s="90" t="s">
        <v>563</v>
      </c>
      <c r="AA86" s="10"/>
      <c r="AC86" s="5"/>
    </row>
    <row r="87" spans="2:34" ht="9.9499999999999993" customHeight="1">
      <c r="AA87" s="10"/>
      <c r="AC87" s="161"/>
    </row>
    <row r="88" spans="2:34" ht="12.95" customHeight="1">
      <c r="B88" s="5" t="s">
        <v>609</v>
      </c>
      <c r="O88" s="153" t="s">
        <v>0</v>
      </c>
      <c r="P88" s="295">
        <f>K74/SUMIF(R91:R97,"&lt;760",V91:V97)</f>
        <v>118.81188118811882</v>
      </c>
      <c r="Q88" s="295"/>
      <c r="R88" s="295"/>
      <c r="S88" s="5" t="s">
        <v>48</v>
      </c>
      <c r="AC88" s="5"/>
      <c r="AH88" s="41"/>
    </row>
    <row r="89" spans="2:34" ht="12.95" customHeight="1">
      <c r="B89" s="256" t="s">
        <v>42</v>
      </c>
      <c r="C89" s="258"/>
      <c r="D89" s="258"/>
      <c r="E89" s="258"/>
      <c r="F89" s="298" t="s">
        <v>187</v>
      </c>
      <c r="G89" s="298"/>
      <c r="H89" s="298"/>
      <c r="I89" s="298"/>
      <c r="J89" s="298" t="s">
        <v>124</v>
      </c>
      <c r="K89" s="298"/>
      <c r="L89" s="298"/>
      <c r="M89" s="351"/>
      <c r="N89" s="353" t="s">
        <v>473</v>
      </c>
      <c r="O89" s="353"/>
      <c r="P89" s="353"/>
      <c r="Q89" s="353"/>
      <c r="R89" s="298" t="s">
        <v>610</v>
      </c>
      <c r="S89" s="258"/>
      <c r="T89" s="258"/>
      <c r="U89" s="258"/>
      <c r="V89" s="342" t="s">
        <v>607</v>
      </c>
      <c r="W89" s="258"/>
      <c r="X89" s="258"/>
      <c r="Y89" s="259"/>
      <c r="AA89" s="10"/>
      <c r="AC89" s="5"/>
    </row>
    <row r="90" spans="2:34" ht="12.95" customHeight="1">
      <c r="B90" s="350"/>
      <c r="C90" s="300"/>
      <c r="D90" s="300"/>
      <c r="E90" s="300"/>
      <c r="F90" s="299"/>
      <c r="G90" s="299"/>
      <c r="H90" s="299"/>
      <c r="I90" s="299"/>
      <c r="J90" s="299"/>
      <c r="K90" s="299"/>
      <c r="L90" s="299"/>
      <c r="M90" s="352"/>
      <c r="N90" s="354"/>
      <c r="O90" s="354"/>
      <c r="P90" s="354"/>
      <c r="Q90" s="354"/>
      <c r="R90" s="297"/>
      <c r="S90" s="297"/>
      <c r="T90" s="297"/>
      <c r="U90" s="297"/>
      <c r="V90" s="343"/>
      <c r="W90" s="300"/>
      <c r="X90" s="300"/>
      <c r="Y90" s="307"/>
      <c r="AA90" s="10"/>
      <c r="AC90" s="5"/>
    </row>
    <row r="91" spans="2:34" ht="12.95" customHeight="1">
      <c r="B91" s="344" t="str">
        <f>B78</f>
        <v>매립층</v>
      </c>
      <c r="C91" s="345"/>
      <c r="D91" s="345"/>
      <c r="E91" s="345"/>
      <c r="F91" s="312">
        <f>F78</f>
        <v>6.5</v>
      </c>
      <c r="G91" s="312"/>
      <c r="H91" s="312"/>
      <c r="I91" s="312"/>
      <c r="J91" s="313">
        <f>J78</f>
        <v>6.5</v>
      </c>
      <c r="K91" s="313"/>
      <c r="L91" s="313"/>
      <c r="M91" s="346"/>
      <c r="N91" s="347">
        <f>IF(N78="","",IF(N78&lt;360,0.8,1))</f>
        <v>0.8</v>
      </c>
      <c r="O91" s="347"/>
      <c r="P91" s="347"/>
      <c r="Q91" s="347"/>
      <c r="R91" s="241">
        <f>IF(N78="","",ROUND(N78*N91,2))</f>
        <v>82.12</v>
      </c>
      <c r="S91" s="241"/>
      <c r="T91" s="241"/>
      <c r="U91" s="241"/>
      <c r="V91" s="348">
        <f t="shared" ref="V91:V97" si="22">IF(B91="","",ROUND(J91/R91,5))</f>
        <v>7.9149999999999998E-2</v>
      </c>
      <c r="W91" s="314"/>
      <c r="X91" s="314"/>
      <c r="Y91" s="349"/>
      <c r="AA91" s="10"/>
      <c r="AC91" s="5"/>
    </row>
    <row r="92" spans="2:34" ht="12.95" customHeight="1">
      <c r="B92" s="344" t="str">
        <f>B79</f>
        <v>퇴적층</v>
      </c>
      <c r="C92" s="345"/>
      <c r="D92" s="345"/>
      <c r="E92" s="345"/>
      <c r="F92" s="312">
        <f t="shared" ref="F92:F97" si="23">F79</f>
        <v>7.6</v>
      </c>
      <c r="G92" s="312"/>
      <c r="H92" s="312"/>
      <c r="I92" s="312"/>
      <c r="J92" s="313">
        <f t="shared" ref="J92:J97" si="24">J79</f>
        <v>1.1000000000000001</v>
      </c>
      <c r="K92" s="313"/>
      <c r="L92" s="313"/>
      <c r="M92" s="346"/>
      <c r="N92" s="347">
        <f t="shared" ref="N92:N97" si="25">IF(N79="","",IF(N79&lt;360,0.8,1))</f>
        <v>0.8</v>
      </c>
      <c r="O92" s="347"/>
      <c r="P92" s="347"/>
      <c r="Q92" s="347"/>
      <c r="R92" s="241">
        <f t="shared" ref="R92:R97" si="26">IF(N79="","",ROUND(N79*N92,2))</f>
        <v>251.66</v>
      </c>
      <c r="S92" s="241"/>
      <c r="T92" s="241"/>
      <c r="U92" s="241"/>
      <c r="V92" s="227">
        <f t="shared" si="22"/>
        <v>4.3699999999999998E-3</v>
      </c>
      <c r="W92" s="323"/>
      <c r="X92" s="323"/>
      <c r="Y92" s="355"/>
      <c r="AA92" s="10"/>
      <c r="AC92" s="5"/>
    </row>
    <row r="93" spans="2:34" ht="12.95" customHeight="1">
      <c r="B93" s="344" t="str">
        <f t="shared" ref="B93:B97" si="27">B80</f>
        <v>풍화토층</v>
      </c>
      <c r="C93" s="345"/>
      <c r="D93" s="345"/>
      <c r="E93" s="345"/>
      <c r="F93" s="312">
        <f t="shared" si="23"/>
        <v>12</v>
      </c>
      <c r="G93" s="312"/>
      <c r="H93" s="312"/>
      <c r="I93" s="312"/>
      <c r="J93" s="313">
        <f t="shared" si="24"/>
        <v>4.4000000000000004</v>
      </c>
      <c r="K93" s="313"/>
      <c r="L93" s="313"/>
      <c r="M93" s="346"/>
      <c r="N93" s="347">
        <f t="shared" si="25"/>
        <v>0.8</v>
      </c>
      <c r="O93" s="347"/>
      <c r="P93" s="347"/>
      <c r="Q93" s="347"/>
      <c r="R93" s="241">
        <f t="shared" si="26"/>
        <v>251.66</v>
      </c>
      <c r="S93" s="241"/>
      <c r="T93" s="241"/>
      <c r="U93" s="241"/>
      <c r="V93" s="227">
        <f t="shared" si="22"/>
        <v>1.7479999999999999E-2</v>
      </c>
      <c r="W93" s="323"/>
      <c r="X93" s="323"/>
      <c r="Y93" s="355"/>
      <c r="AA93" s="10"/>
      <c r="AC93" s="5"/>
    </row>
    <row r="94" spans="2:34" ht="12.95" customHeight="1">
      <c r="B94" s="344" t="str">
        <f t="shared" si="27"/>
        <v/>
      </c>
      <c r="C94" s="345"/>
      <c r="D94" s="345"/>
      <c r="E94" s="345"/>
      <c r="F94" s="312" t="str">
        <f t="shared" si="23"/>
        <v/>
      </c>
      <c r="G94" s="312"/>
      <c r="H94" s="312"/>
      <c r="I94" s="312"/>
      <c r="J94" s="313" t="str">
        <f t="shared" si="24"/>
        <v/>
      </c>
      <c r="K94" s="313"/>
      <c r="L94" s="313"/>
      <c r="M94" s="346"/>
      <c r="N94" s="347" t="str">
        <f t="shared" si="25"/>
        <v/>
      </c>
      <c r="O94" s="347"/>
      <c r="P94" s="347"/>
      <c r="Q94" s="347"/>
      <c r="R94" s="241" t="str">
        <f t="shared" si="26"/>
        <v/>
      </c>
      <c r="S94" s="241"/>
      <c r="T94" s="241"/>
      <c r="U94" s="241"/>
      <c r="V94" s="227" t="str">
        <f t="shared" si="22"/>
        <v/>
      </c>
      <c r="W94" s="323"/>
      <c r="X94" s="323"/>
      <c r="Y94" s="355"/>
      <c r="AA94" s="10"/>
      <c r="AC94" s="5"/>
    </row>
    <row r="95" spans="2:34" ht="12.95" customHeight="1">
      <c r="B95" s="344" t="str">
        <f t="shared" si="27"/>
        <v/>
      </c>
      <c r="C95" s="345"/>
      <c r="D95" s="345"/>
      <c r="E95" s="345"/>
      <c r="F95" s="312" t="str">
        <f t="shared" si="23"/>
        <v/>
      </c>
      <c r="G95" s="312"/>
      <c r="H95" s="312"/>
      <c r="I95" s="312"/>
      <c r="J95" s="313" t="str">
        <f t="shared" si="24"/>
        <v/>
      </c>
      <c r="K95" s="313"/>
      <c r="L95" s="313"/>
      <c r="M95" s="346"/>
      <c r="N95" s="347" t="str">
        <f t="shared" si="25"/>
        <v/>
      </c>
      <c r="O95" s="347"/>
      <c r="P95" s="347"/>
      <c r="Q95" s="347"/>
      <c r="R95" s="241" t="str">
        <f t="shared" si="26"/>
        <v/>
      </c>
      <c r="S95" s="241"/>
      <c r="T95" s="241"/>
      <c r="U95" s="241"/>
      <c r="V95" s="227" t="str">
        <f t="shared" si="22"/>
        <v/>
      </c>
      <c r="W95" s="323"/>
      <c r="X95" s="323"/>
      <c r="Y95" s="355"/>
      <c r="AA95" s="10"/>
      <c r="AC95" s="5"/>
    </row>
    <row r="96" spans="2:34" ht="12.95" customHeight="1">
      <c r="B96" s="344" t="str">
        <f t="shared" si="27"/>
        <v/>
      </c>
      <c r="C96" s="345"/>
      <c r="D96" s="345"/>
      <c r="E96" s="345"/>
      <c r="F96" s="312" t="str">
        <f t="shared" si="23"/>
        <v/>
      </c>
      <c r="G96" s="312"/>
      <c r="H96" s="312"/>
      <c r="I96" s="312"/>
      <c r="J96" s="313" t="str">
        <f t="shared" si="24"/>
        <v/>
      </c>
      <c r="K96" s="313"/>
      <c r="L96" s="313"/>
      <c r="M96" s="346"/>
      <c r="N96" s="347" t="str">
        <f t="shared" si="25"/>
        <v/>
      </c>
      <c r="O96" s="347"/>
      <c r="P96" s="347"/>
      <c r="Q96" s="347"/>
      <c r="R96" s="241" t="str">
        <f t="shared" si="26"/>
        <v/>
      </c>
      <c r="S96" s="241"/>
      <c r="T96" s="241"/>
      <c r="U96" s="241"/>
      <c r="V96" s="227" t="str">
        <f t="shared" si="22"/>
        <v/>
      </c>
      <c r="W96" s="323"/>
      <c r="X96" s="323"/>
      <c r="Y96" s="355"/>
      <c r="AA96" s="10"/>
      <c r="AC96" s="5"/>
    </row>
    <row r="97" spans="2:31" ht="12.95" customHeight="1">
      <c r="B97" s="356" t="str">
        <f t="shared" si="27"/>
        <v/>
      </c>
      <c r="C97" s="357"/>
      <c r="D97" s="357"/>
      <c r="E97" s="357"/>
      <c r="F97" s="358" t="str">
        <f t="shared" si="23"/>
        <v/>
      </c>
      <c r="G97" s="358"/>
      <c r="H97" s="358"/>
      <c r="I97" s="358"/>
      <c r="J97" s="359" t="str">
        <f t="shared" si="24"/>
        <v/>
      </c>
      <c r="K97" s="359"/>
      <c r="L97" s="359"/>
      <c r="M97" s="360"/>
      <c r="N97" s="361" t="str">
        <f t="shared" si="25"/>
        <v/>
      </c>
      <c r="O97" s="361"/>
      <c r="P97" s="361"/>
      <c r="Q97" s="361"/>
      <c r="R97" s="247" t="str">
        <f t="shared" si="26"/>
        <v/>
      </c>
      <c r="S97" s="247"/>
      <c r="T97" s="247"/>
      <c r="U97" s="247"/>
      <c r="V97" s="252" t="str">
        <f t="shared" si="22"/>
        <v/>
      </c>
      <c r="W97" s="339"/>
      <c r="X97" s="339"/>
      <c r="Y97" s="362"/>
      <c r="AA97" s="10"/>
      <c r="AC97" s="5"/>
    </row>
    <row r="98" spans="2:31" ht="12.95" customHeight="1">
      <c r="B98" s="5" t="s">
        <v>611</v>
      </c>
    </row>
    <row r="99" spans="2:31" ht="9.9499999999999993" customHeight="1">
      <c r="AA99" s="10"/>
    </row>
    <row r="100" spans="2:31" ht="12.95" customHeight="1">
      <c r="B100" s="5" t="s">
        <v>131</v>
      </c>
      <c r="J100" s="153"/>
      <c r="K100" s="63"/>
      <c r="L100" s="63"/>
      <c r="M100" s="63"/>
      <c r="AA100" s="10"/>
      <c r="AB100" s="41"/>
      <c r="AC100" s="5"/>
      <c r="AD100" s="41"/>
    </row>
    <row r="101" spans="2:31" ht="12.95" customHeight="1">
      <c r="B101" s="256" t="s">
        <v>54</v>
      </c>
      <c r="C101" s="258"/>
      <c r="D101" s="258"/>
      <c r="E101" s="258"/>
      <c r="F101" s="258" t="s">
        <v>55</v>
      </c>
      <c r="G101" s="258"/>
      <c r="H101" s="258"/>
      <c r="I101" s="258"/>
      <c r="J101" s="258"/>
      <c r="K101" s="258"/>
      <c r="L101" s="258"/>
      <c r="M101" s="258" t="s">
        <v>56</v>
      </c>
      <c r="N101" s="258"/>
      <c r="O101" s="258"/>
      <c r="P101" s="258"/>
      <c r="Q101" s="258"/>
      <c r="R101" s="258"/>
      <c r="S101" s="258"/>
      <c r="T101" s="258"/>
      <c r="U101" s="258"/>
      <c r="V101" s="258"/>
      <c r="W101" s="258"/>
      <c r="X101" s="258"/>
      <c r="Y101" s="259"/>
      <c r="AA101" s="10"/>
      <c r="AC101" s="5"/>
    </row>
    <row r="102" spans="2:31" ht="12.95" customHeight="1">
      <c r="B102" s="35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 t="s">
        <v>57</v>
      </c>
      <c r="N102" s="300"/>
      <c r="O102" s="300"/>
      <c r="P102" s="300"/>
      <c r="Q102" s="300"/>
      <c r="R102" s="300"/>
      <c r="S102" s="300" t="s">
        <v>58</v>
      </c>
      <c r="T102" s="300"/>
      <c r="U102" s="300"/>
      <c r="V102" s="300"/>
      <c r="W102" s="300"/>
      <c r="X102" s="300"/>
      <c r="Y102" s="307"/>
      <c r="AA102" s="10"/>
      <c r="AB102" s="41" t="s">
        <v>62</v>
      </c>
      <c r="AC102" s="181">
        <f>IF(K74&lt;1,1,IF(AND(K74&gt;=1,K74&lt;20,K75&gt;=260),2,IF(AND(K74&gt;=1,K74&lt;20,K75&lt;260),3,IF(AND(K74&gt;=20,K75&gt;=180),4,5))))</f>
        <v>3</v>
      </c>
    </row>
    <row r="103" spans="2:31" ht="15" customHeight="1">
      <c r="B103" s="363" t="s">
        <v>612</v>
      </c>
      <c r="C103" s="364"/>
      <c r="D103" s="364"/>
      <c r="E103" s="364"/>
      <c r="F103" s="364" t="s">
        <v>60</v>
      </c>
      <c r="G103" s="364"/>
      <c r="H103" s="364"/>
      <c r="I103" s="364"/>
      <c r="J103" s="364"/>
      <c r="K103" s="364"/>
      <c r="L103" s="364"/>
      <c r="M103" s="364" t="s">
        <v>61</v>
      </c>
      <c r="N103" s="364"/>
      <c r="O103" s="364"/>
      <c r="P103" s="364"/>
      <c r="Q103" s="364"/>
      <c r="R103" s="364"/>
      <c r="S103" s="364" t="s">
        <v>7</v>
      </c>
      <c r="T103" s="364"/>
      <c r="U103" s="364"/>
      <c r="V103" s="364"/>
      <c r="W103" s="364"/>
      <c r="X103" s="364"/>
      <c r="Y103" s="365"/>
      <c r="AA103" s="10"/>
      <c r="AE103" s="41"/>
    </row>
    <row r="104" spans="2:31" ht="15" customHeight="1">
      <c r="B104" s="284" t="s">
        <v>613</v>
      </c>
      <c r="C104" s="285"/>
      <c r="D104" s="285"/>
      <c r="E104" s="285"/>
      <c r="F104" s="285" t="s">
        <v>64</v>
      </c>
      <c r="G104" s="285"/>
      <c r="H104" s="285"/>
      <c r="I104" s="285"/>
      <c r="J104" s="285"/>
      <c r="K104" s="285"/>
      <c r="L104" s="285"/>
      <c r="M104" s="285" t="s">
        <v>65</v>
      </c>
      <c r="N104" s="285"/>
      <c r="O104" s="285"/>
      <c r="P104" s="285"/>
      <c r="Q104" s="285"/>
      <c r="R104" s="285"/>
      <c r="S104" s="285" t="s">
        <v>66</v>
      </c>
      <c r="T104" s="285"/>
      <c r="U104" s="285"/>
      <c r="V104" s="285"/>
      <c r="W104" s="285"/>
      <c r="X104" s="285"/>
      <c r="Y104" s="288"/>
      <c r="AA104" s="10"/>
      <c r="AC104" s="5"/>
    </row>
    <row r="105" spans="2:31" ht="15" customHeight="1">
      <c r="B105" s="284" t="s">
        <v>614</v>
      </c>
      <c r="C105" s="285"/>
      <c r="D105" s="285"/>
      <c r="E105" s="285"/>
      <c r="F105" s="285" t="s">
        <v>68</v>
      </c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 t="s">
        <v>69</v>
      </c>
      <c r="T105" s="285"/>
      <c r="U105" s="285"/>
      <c r="V105" s="285"/>
      <c r="W105" s="285"/>
      <c r="X105" s="285"/>
      <c r="Y105" s="288"/>
      <c r="AA105" s="10"/>
      <c r="AC105" s="5"/>
    </row>
    <row r="106" spans="2:31" ht="15" customHeight="1">
      <c r="B106" s="284" t="s">
        <v>615</v>
      </c>
      <c r="C106" s="285"/>
      <c r="D106" s="285"/>
      <c r="E106" s="285"/>
      <c r="F106" s="285" t="s">
        <v>71</v>
      </c>
      <c r="G106" s="285"/>
      <c r="H106" s="285"/>
      <c r="I106" s="285"/>
      <c r="J106" s="285"/>
      <c r="K106" s="285"/>
      <c r="L106" s="285"/>
      <c r="M106" s="285" t="s">
        <v>72</v>
      </c>
      <c r="N106" s="285"/>
      <c r="O106" s="285"/>
      <c r="P106" s="285"/>
      <c r="Q106" s="285"/>
      <c r="R106" s="285"/>
      <c r="S106" s="285" t="s">
        <v>73</v>
      </c>
      <c r="T106" s="285"/>
      <c r="U106" s="285"/>
      <c r="V106" s="285"/>
      <c r="W106" s="285"/>
      <c r="X106" s="285"/>
      <c r="Y106" s="288"/>
      <c r="AA106" s="10"/>
      <c r="AC106" s="5"/>
    </row>
    <row r="107" spans="2:31" ht="15" customHeight="1">
      <c r="B107" s="284" t="s">
        <v>616</v>
      </c>
      <c r="C107" s="285"/>
      <c r="D107" s="285"/>
      <c r="E107" s="285"/>
      <c r="F107" s="285" t="s">
        <v>75</v>
      </c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 t="s">
        <v>76</v>
      </c>
      <c r="T107" s="285"/>
      <c r="U107" s="285"/>
      <c r="V107" s="285"/>
      <c r="W107" s="285"/>
      <c r="X107" s="285"/>
      <c r="Y107" s="288"/>
      <c r="AA107" s="10"/>
      <c r="AC107" s="5"/>
    </row>
    <row r="108" spans="2:31" ht="15" customHeight="1">
      <c r="B108" s="286" t="s">
        <v>617</v>
      </c>
      <c r="C108" s="287"/>
      <c r="D108" s="287"/>
      <c r="E108" s="287"/>
      <c r="F108" s="287" t="s">
        <v>78</v>
      </c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9"/>
      <c r="AA108" s="10"/>
      <c r="AC108" s="5"/>
    </row>
    <row r="109" spans="2:31" ht="12.95" customHeight="1">
      <c r="B109" s="5" t="s">
        <v>79</v>
      </c>
      <c r="AA109" s="10"/>
      <c r="AC109" s="5"/>
    </row>
    <row r="110" spans="2:31" ht="12.95" customHeight="1">
      <c r="B110" s="5" t="s">
        <v>618</v>
      </c>
      <c r="AA110" s="10"/>
      <c r="AC110" s="5"/>
    </row>
    <row r="111" spans="2:31" ht="9.9499999999999993" customHeight="1">
      <c r="AA111" s="10"/>
      <c r="AC111" s="5"/>
    </row>
    <row r="112" spans="2:31" ht="12.95" customHeight="1">
      <c r="B112" s="5" t="s">
        <v>80</v>
      </c>
      <c r="AA112" s="10"/>
      <c r="AC112" s="5"/>
    </row>
    <row r="113" spans="2:35" ht="12.95" customHeight="1">
      <c r="B113" s="5" t="s">
        <v>129</v>
      </c>
      <c r="AA113" s="10"/>
      <c r="AC113" s="5"/>
    </row>
    <row r="114" spans="2:35" ht="12.95" customHeight="1">
      <c r="B114" s="5" t="s">
        <v>81</v>
      </c>
      <c r="D114" s="5" t="s">
        <v>82</v>
      </c>
      <c r="P114" s="153" t="s">
        <v>1</v>
      </c>
      <c r="Q114" s="240">
        <v>0.11</v>
      </c>
      <c r="R114" s="240"/>
      <c r="S114" s="182" t="s">
        <v>9</v>
      </c>
      <c r="T114" s="240">
        <v>0.56999999999999995</v>
      </c>
      <c r="U114" s="240"/>
      <c r="V114" s="183" t="s">
        <v>1</v>
      </c>
      <c r="W114" s="366">
        <f>Q114*T114</f>
        <v>6.2699999999999992E-2</v>
      </c>
      <c r="X114" s="366"/>
      <c r="Y114" s="5" t="s">
        <v>12</v>
      </c>
      <c r="AA114" s="10"/>
    </row>
    <row r="115" spans="2:35" ht="12.95" customHeight="1">
      <c r="B115" s="5" t="s">
        <v>619</v>
      </c>
      <c r="D115" s="5" t="s">
        <v>84</v>
      </c>
      <c r="H115" s="153" t="s">
        <v>1</v>
      </c>
      <c r="I115" s="367">
        <f>IF($AC$102=1,1,IF(AC102=2,1.4,IF(AC102=3,1.7,IF(AC102=4,1.6,1.8))))</f>
        <v>1.7</v>
      </c>
      <c r="J115" s="367"/>
      <c r="AA115" s="10"/>
    </row>
    <row r="116" spans="2:35" ht="12.95" customHeight="1">
      <c r="B116" s="5" t="s">
        <v>620</v>
      </c>
      <c r="D116" s="5" t="s">
        <v>87</v>
      </c>
      <c r="H116" s="153" t="s">
        <v>1</v>
      </c>
      <c r="I116" s="367">
        <f>IF($AC$102=1,1,IF(AC102=2,1.5,IF(AC102=3,1.7,IF(AC102=4,2.2,3))))</f>
        <v>1.7</v>
      </c>
      <c r="J116" s="367"/>
      <c r="AA116" s="10"/>
      <c r="AB116" s="41"/>
      <c r="AC116" s="5"/>
      <c r="AD116" s="41"/>
    </row>
    <row r="117" spans="2:35" ht="5.0999999999999996" customHeight="1">
      <c r="I117" s="153"/>
      <c r="J117" s="153"/>
      <c r="AA117" s="10"/>
      <c r="AB117" s="41"/>
      <c r="AC117" s="5"/>
      <c r="AD117" s="41"/>
    </row>
    <row r="118" spans="2:35" ht="12.95" customHeight="1">
      <c r="B118" s="5" t="s">
        <v>130</v>
      </c>
      <c r="AA118" s="10"/>
      <c r="AC118" s="5"/>
    </row>
    <row r="119" spans="2:35" ht="12.95" customHeight="1">
      <c r="B119" s="5" t="s">
        <v>81</v>
      </c>
      <c r="D119" s="5" t="s">
        <v>82</v>
      </c>
      <c r="P119" s="153" t="s">
        <v>1</v>
      </c>
      <c r="Q119" s="240">
        <v>0.11</v>
      </c>
      <c r="R119" s="240"/>
      <c r="S119" s="182" t="s">
        <v>9</v>
      </c>
      <c r="T119" s="240">
        <v>1.4</v>
      </c>
      <c r="U119" s="240"/>
      <c r="V119" s="183" t="s">
        <v>1</v>
      </c>
      <c r="W119" s="366">
        <f>Q119*T119</f>
        <v>0.154</v>
      </c>
      <c r="X119" s="366"/>
      <c r="Y119" s="5" t="s">
        <v>12</v>
      </c>
      <c r="AA119" s="10"/>
      <c r="AC119" s="5"/>
    </row>
    <row r="120" spans="2:35" ht="12.95" customHeight="1">
      <c r="B120" s="5" t="s">
        <v>619</v>
      </c>
      <c r="D120" s="5" t="s">
        <v>84</v>
      </c>
      <c r="AA120" s="10"/>
      <c r="AC120" s="5"/>
    </row>
    <row r="121" spans="2:35" ht="12.95" customHeight="1">
      <c r="D121" s="240" t="s">
        <v>1</v>
      </c>
      <c r="E121" s="369">
        <f>IF(AB121&lt;0.2,AC121,AC122)</f>
        <v>1.7</v>
      </c>
      <c r="F121" s="369"/>
      <c r="G121" s="240" t="s">
        <v>3</v>
      </c>
      <c r="H121" s="159" t="s">
        <v>2</v>
      </c>
      <c r="I121" s="370">
        <f>IF(AB121&lt;0.2,AD121,AD122)</f>
        <v>1.5</v>
      </c>
      <c r="J121" s="370"/>
      <c r="K121" s="159" t="s">
        <v>7</v>
      </c>
      <c r="L121" s="370">
        <f>IF(AB121&lt;0.2,AE121,AE122)</f>
        <v>1.7</v>
      </c>
      <c r="M121" s="370"/>
      <c r="N121" s="159" t="s">
        <v>4</v>
      </c>
      <c r="O121" s="371" t="s">
        <v>50</v>
      </c>
      <c r="P121" s="240" t="s">
        <v>2</v>
      </c>
      <c r="Q121" s="366">
        <f>W119</f>
        <v>0.154</v>
      </c>
      <c r="R121" s="366"/>
      <c r="S121" s="240" t="s">
        <v>7</v>
      </c>
      <c r="T121" s="369">
        <f>IF(AB121&lt;0.2,AI121,AI122)</f>
        <v>0.1</v>
      </c>
      <c r="U121" s="369"/>
      <c r="V121" s="240" t="s">
        <v>4</v>
      </c>
      <c r="W121" s="371" t="s">
        <v>1</v>
      </c>
      <c r="X121" s="367">
        <f>E121+((I121-L121)/(I122-L122))*(Q121-T121)</f>
        <v>1.5920000000000001</v>
      </c>
      <c r="Y121" s="367"/>
      <c r="AA121" s="10"/>
      <c r="AB121" s="184">
        <f>W119</f>
        <v>0.154</v>
      </c>
      <c r="AC121" s="185">
        <f>IF($AC$102=1,1,IF(AC102=2,1.4,IF(AC102=3,1.7,IF(AC102=4,1.6,1.8))))</f>
        <v>1.7</v>
      </c>
      <c r="AD121" s="185">
        <f>IF($AC$102=1,1,IF(AC102=2,1.4,IF(AC102=3,1.5,IF(AC102=4,1.4,1.3))))</f>
        <v>1.5</v>
      </c>
      <c r="AE121" s="185">
        <f>IF($AC$102=1,1,IF(AC102=2,1.4,IF(AC102=3,1.7,IF(AC102=4,1.6,1.8))))</f>
        <v>1.7</v>
      </c>
      <c r="AF121" s="185">
        <v>0.2</v>
      </c>
      <c r="AG121" s="185">
        <v>0.1</v>
      </c>
      <c r="AH121" s="186">
        <f>W119</f>
        <v>0.154</v>
      </c>
      <c r="AI121" s="185">
        <v>0.1</v>
      </c>
    </row>
    <row r="122" spans="2:35" ht="12.95" customHeight="1">
      <c r="D122" s="240"/>
      <c r="E122" s="369"/>
      <c r="F122" s="369"/>
      <c r="G122" s="240"/>
      <c r="H122" s="153" t="s">
        <v>2</v>
      </c>
      <c r="I122" s="368">
        <f>IF(AB121&lt;0.2,AF121,AF122)</f>
        <v>0.2</v>
      </c>
      <c r="J122" s="368"/>
      <c r="K122" s="153" t="s">
        <v>7</v>
      </c>
      <c r="L122" s="368">
        <f>IF(AB121&lt;0.2,AG121,AG122)</f>
        <v>0.1</v>
      </c>
      <c r="M122" s="368"/>
      <c r="N122" s="153" t="s">
        <v>4</v>
      </c>
      <c r="O122" s="371"/>
      <c r="P122" s="240"/>
      <c r="Q122" s="366"/>
      <c r="R122" s="366"/>
      <c r="S122" s="240"/>
      <c r="T122" s="369"/>
      <c r="U122" s="369"/>
      <c r="V122" s="240"/>
      <c r="W122" s="371"/>
      <c r="X122" s="367"/>
      <c r="Y122" s="367"/>
      <c r="AA122" s="10"/>
      <c r="AC122" s="185">
        <f>IF($AC$102=1,1,IF(AC102=2,1.4,IF(AC102=3,1.5,IF(AC102=4,1.4,1.3))))</f>
        <v>1.5</v>
      </c>
      <c r="AD122" s="185">
        <f>IF($AC$102=1,1,IF(AC102=2,1.3,IF(AC102=3,1.3,IF(AC102=4,1.2,1.3))))</f>
        <v>1.3</v>
      </c>
      <c r="AE122" s="185">
        <f>IF($AC$102=1,1,IF(AC102=2,1.4,IF(AC102=3,1.5,IF(AC102=4,1.4,1.3))))</f>
        <v>1.5</v>
      </c>
      <c r="AF122" s="185">
        <v>0.3</v>
      </c>
      <c r="AG122" s="185">
        <v>0.2</v>
      </c>
      <c r="AH122" s="186">
        <f>W119</f>
        <v>0.154</v>
      </c>
      <c r="AI122" s="185">
        <v>0.2</v>
      </c>
    </row>
    <row r="123" spans="2:35" ht="12.95" customHeight="1">
      <c r="B123" s="5" t="s">
        <v>620</v>
      </c>
      <c r="D123" s="5" t="s">
        <v>87</v>
      </c>
      <c r="AA123" s="10"/>
      <c r="AC123" s="5"/>
    </row>
    <row r="124" spans="2:35" ht="12.95" customHeight="1">
      <c r="D124" s="240" t="s">
        <v>1</v>
      </c>
      <c r="E124" s="369">
        <f>IF(AB124&lt;0.2,AC124,AC125)</f>
        <v>1.7</v>
      </c>
      <c r="F124" s="369"/>
      <c r="G124" s="240" t="s">
        <v>3</v>
      </c>
      <c r="H124" s="159" t="s">
        <v>2</v>
      </c>
      <c r="I124" s="370">
        <f>IF(AB124&lt;0.2,AD124,AD125)</f>
        <v>1.6</v>
      </c>
      <c r="J124" s="370"/>
      <c r="K124" s="159" t="s">
        <v>7</v>
      </c>
      <c r="L124" s="370">
        <f>IF(AB124&lt;0.2,AE124,AE125)</f>
        <v>1.7</v>
      </c>
      <c r="M124" s="370"/>
      <c r="N124" s="159" t="s">
        <v>4</v>
      </c>
      <c r="O124" s="371" t="s">
        <v>50</v>
      </c>
      <c r="P124" s="240" t="s">
        <v>2</v>
      </c>
      <c r="Q124" s="366">
        <f>W119</f>
        <v>0.154</v>
      </c>
      <c r="R124" s="366"/>
      <c r="S124" s="240" t="s">
        <v>7</v>
      </c>
      <c r="T124" s="369">
        <f>IF(AB124&lt;0.2,AI124,AI125)</f>
        <v>0.1</v>
      </c>
      <c r="U124" s="369"/>
      <c r="V124" s="240" t="s">
        <v>4</v>
      </c>
      <c r="W124" s="371" t="s">
        <v>1</v>
      </c>
      <c r="X124" s="367">
        <f>E124+((I124-L124)/(I125-L125))*(Q124-T124)</f>
        <v>1.6460000000000001</v>
      </c>
      <c r="Y124" s="367"/>
      <c r="AA124" s="10"/>
      <c r="AB124" s="184">
        <f>W119</f>
        <v>0.154</v>
      </c>
      <c r="AC124" s="185">
        <f>IF($AC$102=1,1,IF(AC102=2,1.5,IF(AC102=3,1.7,IF(AC102=4,2.2,3))))</f>
        <v>1.7</v>
      </c>
      <c r="AD124" s="185">
        <f>IF($AC$102=1,1,IF(AC102=2,1.4,IF(AC102=3,1.6,IF(AC102=4,2,2.7))))</f>
        <v>1.6</v>
      </c>
      <c r="AE124" s="185">
        <f>IF($AC$102=1,1,IF(AC102=2,1.5,IF(AC102=3,1.7,IF(AC102=4,2.2,3))))</f>
        <v>1.7</v>
      </c>
      <c r="AF124" s="185">
        <v>0.2</v>
      </c>
      <c r="AG124" s="185">
        <v>0.1</v>
      </c>
      <c r="AH124" s="186">
        <f>W119</f>
        <v>0.154</v>
      </c>
      <c r="AI124" s="185">
        <v>0.1</v>
      </c>
    </row>
    <row r="125" spans="2:35" ht="12.95" customHeight="1">
      <c r="D125" s="240"/>
      <c r="E125" s="369"/>
      <c r="F125" s="369"/>
      <c r="G125" s="240"/>
      <c r="H125" s="153" t="s">
        <v>2</v>
      </c>
      <c r="I125" s="368">
        <f>IF(AB124&lt;0.2,AF124,AF125)</f>
        <v>0.2</v>
      </c>
      <c r="J125" s="368"/>
      <c r="K125" s="153" t="s">
        <v>7</v>
      </c>
      <c r="L125" s="368">
        <f>IF(AB124&lt;0.2,AG124,AG125)</f>
        <v>0.1</v>
      </c>
      <c r="M125" s="368"/>
      <c r="N125" s="153" t="s">
        <v>4</v>
      </c>
      <c r="O125" s="371"/>
      <c r="P125" s="240"/>
      <c r="Q125" s="366"/>
      <c r="R125" s="366"/>
      <c r="S125" s="240"/>
      <c r="T125" s="369"/>
      <c r="U125" s="369"/>
      <c r="V125" s="240"/>
      <c r="W125" s="371"/>
      <c r="X125" s="367"/>
      <c r="Y125" s="367"/>
      <c r="AA125" s="10"/>
      <c r="AC125" s="185">
        <f>IF($AC$102=1,1,IF(AC102=2,1.4,IF(AC102=3,1.6,IF(AC102=4,2,2.7))))</f>
        <v>1.6</v>
      </c>
      <c r="AD125" s="185">
        <f>IF($AC$102=1,1,IF(AC102=2,1.3,IF(AC102=3,1.5,IF(AC102=4,1.8,2.4))))</f>
        <v>1.5</v>
      </c>
      <c r="AE125" s="185">
        <f>IF($AC$102=1,1,IF(AC102=2,1.4,IF(AC102=3,1.6,IF(AC102=4,2,2.7))))</f>
        <v>1.6</v>
      </c>
      <c r="AF125" s="185">
        <v>0.3</v>
      </c>
      <c r="AG125" s="185">
        <v>0.2</v>
      </c>
      <c r="AH125" s="186">
        <f>W119</f>
        <v>0.154</v>
      </c>
      <c r="AI125" s="185">
        <v>0.2</v>
      </c>
    </row>
    <row r="126" spans="2:35" ht="5.0999999999999996" customHeight="1">
      <c r="AA126" s="10"/>
      <c r="AC126" s="5"/>
    </row>
    <row r="127" spans="2:35" ht="12.95" customHeight="1">
      <c r="B127" s="234" t="s">
        <v>62</v>
      </c>
      <c r="C127" s="235"/>
      <c r="D127" s="235"/>
      <c r="E127" s="235"/>
      <c r="F127" s="235" t="s">
        <v>621</v>
      </c>
      <c r="G127" s="235"/>
      <c r="H127" s="235"/>
      <c r="I127" s="235"/>
      <c r="J127" s="235"/>
      <c r="K127" s="235"/>
      <c r="L127" s="235"/>
      <c r="M127" s="235"/>
      <c r="N127" s="235"/>
      <c r="O127" s="235" t="s">
        <v>622</v>
      </c>
      <c r="P127" s="235"/>
      <c r="Q127" s="235"/>
      <c r="R127" s="235"/>
      <c r="S127" s="235"/>
      <c r="T127" s="235"/>
      <c r="U127" s="235"/>
      <c r="V127" s="235"/>
      <c r="W127" s="235"/>
      <c r="X127" s="235" t="s">
        <v>10</v>
      </c>
      <c r="Y127" s="292"/>
      <c r="AA127" s="10"/>
      <c r="AC127" s="5"/>
    </row>
    <row r="128" spans="2:35" ht="12.95" customHeight="1">
      <c r="B128" s="290"/>
      <c r="C128" s="291"/>
      <c r="D128" s="291"/>
      <c r="E128" s="291"/>
      <c r="F128" s="291" t="s">
        <v>90</v>
      </c>
      <c r="G128" s="291"/>
      <c r="H128" s="291"/>
      <c r="I128" s="291" t="s">
        <v>91</v>
      </c>
      <c r="J128" s="291"/>
      <c r="K128" s="291"/>
      <c r="L128" s="291" t="s">
        <v>92</v>
      </c>
      <c r="M128" s="291"/>
      <c r="N128" s="291"/>
      <c r="O128" s="291" t="s">
        <v>90</v>
      </c>
      <c r="P128" s="291"/>
      <c r="Q128" s="291"/>
      <c r="R128" s="291" t="s">
        <v>91</v>
      </c>
      <c r="S128" s="291"/>
      <c r="T128" s="291"/>
      <c r="U128" s="291" t="s">
        <v>92</v>
      </c>
      <c r="V128" s="291"/>
      <c r="W128" s="291"/>
      <c r="X128" s="291"/>
      <c r="Y128" s="293"/>
      <c r="AA128" s="10"/>
      <c r="AC128" s="5"/>
    </row>
    <row r="129" spans="1:30" ht="15" customHeight="1">
      <c r="B129" s="344" t="s">
        <v>623</v>
      </c>
      <c r="C129" s="345"/>
      <c r="D129" s="345"/>
      <c r="E129" s="345"/>
      <c r="F129" s="372">
        <v>1.4</v>
      </c>
      <c r="G129" s="372"/>
      <c r="H129" s="372"/>
      <c r="I129" s="372">
        <v>1.4</v>
      </c>
      <c r="J129" s="372"/>
      <c r="K129" s="372"/>
      <c r="L129" s="372">
        <v>1.3</v>
      </c>
      <c r="M129" s="372"/>
      <c r="N129" s="372"/>
      <c r="O129" s="372">
        <v>1.5</v>
      </c>
      <c r="P129" s="372"/>
      <c r="Q129" s="372"/>
      <c r="R129" s="372">
        <v>1.4</v>
      </c>
      <c r="S129" s="372"/>
      <c r="T129" s="372"/>
      <c r="U129" s="372">
        <v>1.3</v>
      </c>
      <c r="V129" s="372"/>
      <c r="W129" s="372"/>
      <c r="X129" s="345"/>
      <c r="Y129" s="373"/>
      <c r="AA129" s="10"/>
      <c r="AC129" s="5"/>
    </row>
    <row r="130" spans="1:30" ht="15" customHeight="1">
      <c r="B130" s="275" t="s">
        <v>624</v>
      </c>
      <c r="C130" s="276"/>
      <c r="D130" s="276"/>
      <c r="E130" s="276"/>
      <c r="F130" s="374">
        <v>1.7</v>
      </c>
      <c r="G130" s="374"/>
      <c r="H130" s="374"/>
      <c r="I130" s="374">
        <v>1.5</v>
      </c>
      <c r="J130" s="374"/>
      <c r="K130" s="374"/>
      <c r="L130" s="374">
        <v>1.3</v>
      </c>
      <c r="M130" s="374"/>
      <c r="N130" s="374"/>
      <c r="O130" s="374">
        <v>1.7</v>
      </c>
      <c r="P130" s="374"/>
      <c r="Q130" s="374"/>
      <c r="R130" s="374">
        <v>1.6</v>
      </c>
      <c r="S130" s="374"/>
      <c r="T130" s="374"/>
      <c r="U130" s="374">
        <v>1.5</v>
      </c>
      <c r="V130" s="374"/>
      <c r="W130" s="374"/>
      <c r="X130" s="276"/>
      <c r="Y130" s="282"/>
      <c r="AA130" s="10"/>
      <c r="AC130" s="5"/>
    </row>
    <row r="131" spans="1:30" ht="15" customHeight="1">
      <c r="B131" s="275" t="s">
        <v>625</v>
      </c>
      <c r="C131" s="276"/>
      <c r="D131" s="276"/>
      <c r="E131" s="276"/>
      <c r="F131" s="374">
        <v>1.6</v>
      </c>
      <c r="G131" s="374"/>
      <c r="H131" s="374"/>
      <c r="I131" s="374">
        <v>1.4</v>
      </c>
      <c r="J131" s="374"/>
      <c r="K131" s="374"/>
      <c r="L131" s="374">
        <v>1.2</v>
      </c>
      <c r="M131" s="374"/>
      <c r="N131" s="374"/>
      <c r="O131" s="374">
        <v>2.2000000000000002</v>
      </c>
      <c r="P131" s="374"/>
      <c r="Q131" s="374"/>
      <c r="R131" s="374">
        <v>2</v>
      </c>
      <c r="S131" s="374"/>
      <c r="T131" s="374"/>
      <c r="U131" s="374">
        <v>1.8</v>
      </c>
      <c r="V131" s="374"/>
      <c r="W131" s="374"/>
      <c r="X131" s="276"/>
      <c r="Y131" s="282"/>
      <c r="AA131" s="10"/>
      <c r="AC131" s="5"/>
    </row>
    <row r="132" spans="1:30" ht="15" customHeight="1">
      <c r="B132" s="277" t="s">
        <v>626</v>
      </c>
      <c r="C132" s="278"/>
      <c r="D132" s="278"/>
      <c r="E132" s="278"/>
      <c r="F132" s="375">
        <v>1.8</v>
      </c>
      <c r="G132" s="375"/>
      <c r="H132" s="375"/>
      <c r="I132" s="375">
        <v>1.3</v>
      </c>
      <c r="J132" s="375"/>
      <c r="K132" s="375"/>
      <c r="L132" s="375">
        <v>1.3</v>
      </c>
      <c r="M132" s="375"/>
      <c r="N132" s="375"/>
      <c r="O132" s="375">
        <v>3</v>
      </c>
      <c r="P132" s="375"/>
      <c r="Q132" s="375"/>
      <c r="R132" s="375">
        <v>2.7</v>
      </c>
      <c r="S132" s="375"/>
      <c r="T132" s="375"/>
      <c r="U132" s="375">
        <v>2.4</v>
      </c>
      <c r="V132" s="375"/>
      <c r="W132" s="375"/>
      <c r="X132" s="278"/>
      <c r="Y132" s="283"/>
      <c r="AA132" s="10"/>
      <c r="AC132" s="5"/>
    </row>
    <row r="133" spans="1:30" ht="9.9499999999999993" customHeight="1">
      <c r="L133" s="183"/>
      <c r="M133" s="183"/>
      <c r="N133" s="182"/>
      <c r="O133" s="161"/>
      <c r="P133" s="153"/>
      <c r="Q133" s="183"/>
      <c r="R133" s="158"/>
      <c r="S133" s="158"/>
      <c r="AA133" s="10"/>
      <c r="AC133" s="5"/>
    </row>
    <row r="134" spans="1:30" ht="12.95" customHeight="1">
      <c r="B134" s="5" t="s">
        <v>93</v>
      </c>
      <c r="AA134" s="10"/>
      <c r="AC134" s="5"/>
    </row>
    <row r="135" spans="1:30" ht="12.95" customHeight="1">
      <c r="B135" s="5" t="s">
        <v>129</v>
      </c>
      <c r="AA135" s="10"/>
      <c r="AC135" s="5"/>
    </row>
    <row r="136" spans="1:30" ht="12.95" customHeight="1">
      <c r="B136" s="5" t="s">
        <v>81</v>
      </c>
      <c r="D136" s="5" t="s">
        <v>94</v>
      </c>
      <c r="Q136" s="183" t="s">
        <v>1</v>
      </c>
      <c r="R136" s="366">
        <f>W114</f>
        <v>6.2699999999999992E-2</v>
      </c>
      <c r="S136" s="366"/>
      <c r="T136" s="5" t="s">
        <v>12</v>
      </c>
      <c r="AA136" s="10"/>
      <c r="AC136" s="5"/>
    </row>
    <row r="137" spans="1:30" ht="12.95" customHeight="1">
      <c r="B137" s="5" t="s">
        <v>627</v>
      </c>
      <c r="D137" s="5" t="s">
        <v>628</v>
      </c>
      <c r="L137" s="371">
        <f>W114</f>
        <v>6.2699999999999992E-2</v>
      </c>
      <c r="M137" s="371"/>
      <c r="N137" s="182" t="s">
        <v>9</v>
      </c>
      <c r="O137" s="367">
        <f>I115</f>
        <v>1.7</v>
      </c>
      <c r="P137" s="240"/>
      <c r="Q137" s="183" t="s">
        <v>1</v>
      </c>
      <c r="R137" s="366">
        <f>ROUND(L137*O137,3)</f>
        <v>0.107</v>
      </c>
      <c r="S137" s="366"/>
      <c r="T137" s="5" t="s">
        <v>12</v>
      </c>
      <c r="AA137" s="10"/>
      <c r="AC137" s="5"/>
    </row>
    <row r="138" spans="1:30" ht="5.0999999999999996" customHeight="1">
      <c r="I138" s="153"/>
      <c r="J138" s="153"/>
      <c r="AA138" s="10"/>
      <c r="AB138" s="41"/>
      <c r="AC138" s="5"/>
      <c r="AD138" s="41"/>
    </row>
    <row r="139" spans="1:30" ht="12.95" customHeight="1">
      <c r="B139" s="5" t="s">
        <v>130</v>
      </c>
      <c r="AA139" s="10"/>
      <c r="AC139" s="5"/>
    </row>
    <row r="140" spans="1:30" ht="12.95" customHeight="1">
      <c r="B140" s="5" t="s">
        <v>81</v>
      </c>
      <c r="D140" s="5" t="s">
        <v>94</v>
      </c>
      <c r="Q140" s="183" t="s">
        <v>1</v>
      </c>
      <c r="R140" s="366">
        <f>W119</f>
        <v>0.154</v>
      </c>
      <c r="S140" s="366"/>
      <c r="T140" s="5" t="s">
        <v>12</v>
      </c>
      <c r="AA140" s="10"/>
      <c r="AC140" s="5"/>
    </row>
    <row r="141" spans="1:30" ht="12.95" customHeight="1">
      <c r="B141" s="5" t="s">
        <v>627</v>
      </c>
      <c r="D141" s="5" t="s">
        <v>628</v>
      </c>
      <c r="L141" s="371">
        <f>W119</f>
        <v>0.154</v>
      </c>
      <c r="M141" s="371"/>
      <c r="N141" s="182" t="s">
        <v>9</v>
      </c>
      <c r="O141" s="367">
        <f>X121</f>
        <v>1.5920000000000001</v>
      </c>
      <c r="P141" s="240"/>
      <c r="Q141" s="183" t="s">
        <v>1</v>
      </c>
      <c r="R141" s="366">
        <f>ROUND(L141*O141,3)</f>
        <v>0.245</v>
      </c>
      <c r="S141" s="366"/>
      <c r="T141" s="5" t="s">
        <v>12</v>
      </c>
      <c r="AA141" s="10"/>
      <c r="AC141" s="5"/>
    </row>
    <row r="142" spans="1:30" ht="12.95" customHeight="1">
      <c r="L142" s="183"/>
      <c r="M142" s="183"/>
      <c r="N142" s="182"/>
      <c r="O142" s="161"/>
      <c r="P142" s="153"/>
      <c r="Q142" s="183"/>
      <c r="R142" s="158"/>
      <c r="S142" s="158"/>
      <c r="AA142" s="10"/>
      <c r="AC142" s="5"/>
    </row>
    <row r="143" spans="1:30" ht="12.95" customHeight="1">
      <c r="A143" s="5" t="s">
        <v>342</v>
      </c>
      <c r="AA143" s="10"/>
      <c r="AC143" s="5"/>
    </row>
    <row r="144" spans="1:30" ht="12.95" customHeight="1">
      <c r="B144" s="5" t="s">
        <v>344</v>
      </c>
      <c r="L144" s="183"/>
      <c r="M144" s="183"/>
      <c r="N144" s="182"/>
      <c r="O144" s="161"/>
      <c r="P144" s="153"/>
      <c r="Q144" s="183"/>
      <c r="R144" s="158"/>
      <c r="S144" s="158"/>
      <c r="AA144" s="10"/>
      <c r="AC144" s="5"/>
    </row>
    <row r="145" spans="2:38" ht="12.95" customHeight="1">
      <c r="B145" s="5" t="s">
        <v>345</v>
      </c>
      <c r="D145" s="5" t="s">
        <v>346</v>
      </c>
      <c r="G145" s="183" t="s">
        <v>1</v>
      </c>
      <c r="H145" s="376">
        <f>R4</f>
        <v>1733</v>
      </c>
      <c r="I145" s="240"/>
      <c r="J145" s="240"/>
      <c r="K145" s="16" t="s">
        <v>629</v>
      </c>
      <c r="L145" s="183"/>
      <c r="M145" s="183"/>
      <c r="N145" s="182"/>
      <c r="O145" s="161"/>
      <c r="P145" s="153"/>
      <c r="Q145" s="183"/>
      <c r="R145" s="158"/>
      <c r="S145" s="158"/>
      <c r="AA145" s="10"/>
      <c r="AC145" s="5"/>
    </row>
    <row r="146" spans="2:38" ht="12.95" customHeight="1">
      <c r="B146" s="5" t="s">
        <v>630</v>
      </c>
      <c r="D146" s="5" t="s">
        <v>348</v>
      </c>
      <c r="G146" s="183" t="s">
        <v>1</v>
      </c>
      <c r="H146" s="377">
        <v>0.3</v>
      </c>
      <c r="I146" s="377"/>
      <c r="J146" s="377"/>
      <c r="K146" s="16"/>
      <c r="L146" s="183"/>
      <c r="M146" s="183"/>
      <c r="N146" s="182"/>
      <c r="O146" s="161"/>
      <c r="P146" s="153"/>
      <c r="Q146" s="183"/>
      <c r="R146" s="158"/>
      <c r="S146" s="158"/>
      <c r="AA146" s="10"/>
      <c r="AC146" s="5"/>
    </row>
    <row r="147" spans="2:38" ht="12.95" customHeight="1">
      <c r="B147" s="5" t="s">
        <v>353</v>
      </c>
      <c r="D147" s="5" t="s">
        <v>354</v>
      </c>
      <c r="G147" s="183" t="s">
        <v>1</v>
      </c>
      <c r="H147" s="377">
        <f>R14</f>
        <v>1</v>
      </c>
      <c r="I147" s="377"/>
      <c r="J147" s="377"/>
      <c r="K147" s="16" t="s">
        <v>8</v>
      </c>
      <c r="L147" s="183"/>
      <c r="M147" s="183"/>
      <c r="N147" s="182"/>
      <c r="O147" s="161"/>
      <c r="P147" s="153"/>
      <c r="Q147" s="183"/>
      <c r="R147" s="158"/>
      <c r="S147" s="158"/>
      <c r="AA147" s="10"/>
      <c r="AC147" s="5"/>
    </row>
    <row r="148" spans="2:38" ht="12.95" customHeight="1">
      <c r="B148" s="5" t="s">
        <v>349</v>
      </c>
      <c r="D148" s="5" t="s">
        <v>350</v>
      </c>
      <c r="G148" s="183" t="s">
        <v>1</v>
      </c>
      <c r="H148" s="367">
        <f>K13</f>
        <v>8</v>
      </c>
      <c r="I148" s="367"/>
      <c r="J148" s="367"/>
      <c r="K148" s="5" t="s">
        <v>351</v>
      </c>
      <c r="L148" s="183" t="s">
        <v>1</v>
      </c>
      <c r="M148" s="240">
        <f>H148/1000</f>
        <v>8.0000000000000002E-3</v>
      </c>
      <c r="N148" s="240"/>
      <c r="O148" s="240"/>
      <c r="P148" s="5" t="s">
        <v>8</v>
      </c>
      <c r="AA148" s="10"/>
      <c r="AC148" s="5"/>
    </row>
    <row r="149" spans="2:38" ht="12.95" customHeight="1">
      <c r="B149" s="5" t="s">
        <v>437</v>
      </c>
      <c r="D149" s="5" t="s">
        <v>438</v>
      </c>
      <c r="G149" s="183" t="s">
        <v>1</v>
      </c>
      <c r="H149" s="376">
        <f>R12</f>
        <v>210000000</v>
      </c>
      <c r="I149" s="240"/>
      <c r="J149" s="240"/>
      <c r="K149" s="240"/>
      <c r="L149" s="5" t="s">
        <v>631</v>
      </c>
      <c r="AA149" s="10"/>
      <c r="AC149" s="5"/>
    </row>
    <row r="150" spans="2:38" ht="9.9499999999999993" customHeight="1">
      <c r="L150" s="183"/>
      <c r="M150" s="183"/>
      <c r="N150" s="182"/>
      <c r="O150" s="161"/>
      <c r="P150" s="153"/>
      <c r="Q150" s="183"/>
      <c r="R150" s="158"/>
      <c r="S150" s="158"/>
      <c r="AA150" s="10"/>
      <c r="AB150" s="157"/>
      <c r="AC150" s="182"/>
      <c r="AD150" s="156"/>
      <c r="AE150" s="182"/>
      <c r="AF150" s="50"/>
      <c r="AG150" s="156"/>
      <c r="AH150" s="156"/>
      <c r="AI150" s="156"/>
      <c r="AJ150" s="50"/>
      <c r="AK150" s="50"/>
      <c r="AL150" s="156"/>
    </row>
    <row r="151" spans="2:38" ht="12.95" customHeight="1">
      <c r="B151" s="165" t="s">
        <v>439</v>
      </c>
      <c r="L151" s="183"/>
      <c r="M151" s="183"/>
      <c r="N151" s="182"/>
      <c r="O151" s="161"/>
      <c r="P151" s="153"/>
      <c r="Q151" s="183"/>
      <c r="R151" s="158"/>
      <c r="S151" s="158"/>
      <c r="AA151" s="10"/>
      <c r="AC151" s="5"/>
    </row>
    <row r="152" spans="2:38" ht="12.95" customHeight="1">
      <c r="B152" s="380" t="s">
        <v>632</v>
      </c>
      <c r="C152" s="381" t="s">
        <v>207</v>
      </c>
      <c r="D152" s="159" t="s">
        <v>357</v>
      </c>
      <c r="E152" s="159" t="s">
        <v>2</v>
      </c>
      <c r="F152" s="159" t="s">
        <v>328</v>
      </c>
      <c r="G152" s="159" t="s">
        <v>7</v>
      </c>
      <c r="H152" s="159" t="s">
        <v>358</v>
      </c>
      <c r="I152" s="159" t="s">
        <v>4</v>
      </c>
      <c r="J152" s="240" t="s">
        <v>50</v>
      </c>
      <c r="K152" s="382" t="s">
        <v>356</v>
      </c>
      <c r="O152" s="156"/>
      <c r="P152" s="187"/>
      <c r="Q152" s="187"/>
      <c r="R152" s="50"/>
      <c r="S152" s="16"/>
      <c r="T152" s="16"/>
      <c r="U152" s="156"/>
      <c r="V152" s="92"/>
      <c r="W152" s="92"/>
      <c r="AC152" s="5"/>
    </row>
    <row r="153" spans="2:38" ht="12.95" customHeight="1">
      <c r="B153" s="380"/>
      <c r="C153" s="381"/>
      <c r="D153" s="383" t="s">
        <v>436</v>
      </c>
      <c r="E153" s="383"/>
      <c r="F153" s="383"/>
      <c r="G153" s="383"/>
      <c r="H153" s="383"/>
      <c r="I153" s="383"/>
      <c r="J153" s="240"/>
      <c r="K153" s="240"/>
      <c r="L153" s="50"/>
      <c r="M153" s="50"/>
      <c r="N153" s="156"/>
      <c r="O153" s="156"/>
      <c r="P153" s="187"/>
      <c r="Q153" s="187"/>
      <c r="R153" s="50"/>
      <c r="S153" s="16"/>
      <c r="T153" s="16"/>
      <c r="U153" s="156"/>
      <c r="V153" s="92"/>
      <c r="W153" s="92"/>
      <c r="X153" s="156"/>
      <c r="AA153" s="10"/>
      <c r="AC153" s="5"/>
    </row>
    <row r="154" spans="2:38" ht="12.95" customHeight="1">
      <c r="B154" s="156"/>
      <c r="C154" s="183" t="s">
        <v>1</v>
      </c>
      <c r="D154" s="384">
        <f>H146</f>
        <v>0.3</v>
      </c>
      <c r="E154" s="384"/>
      <c r="F154" s="182" t="s">
        <v>9</v>
      </c>
      <c r="G154" s="211">
        <f>H145</f>
        <v>1733</v>
      </c>
      <c r="H154" s="381"/>
      <c r="I154" s="182" t="s">
        <v>9</v>
      </c>
      <c r="J154" s="50" t="s">
        <v>2</v>
      </c>
      <c r="K154" s="385">
        <f>H147</f>
        <v>1</v>
      </c>
      <c r="L154" s="381"/>
      <c r="M154" s="156" t="s">
        <v>7</v>
      </c>
      <c r="N154" s="381">
        <f>M148</f>
        <v>8.0000000000000002E-3</v>
      </c>
      <c r="O154" s="381"/>
      <c r="P154" s="156" t="s">
        <v>4</v>
      </c>
      <c r="Q154" s="50" t="s">
        <v>5</v>
      </c>
      <c r="R154" s="381">
        <f>2*M148*H149</f>
        <v>3360000</v>
      </c>
      <c r="S154" s="381"/>
      <c r="T154" s="183" t="s">
        <v>1</v>
      </c>
      <c r="U154" s="381">
        <f>D154*G154*(K154-N154)/R154</f>
        <v>1.534942857142857E-4</v>
      </c>
      <c r="V154" s="381"/>
      <c r="W154" s="381"/>
      <c r="X154" s="16"/>
      <c r="AA154" s="10"/>
      <c r="AC154" s="5"/>
    </row>
    <row r="155" spans="2:38" ht="12.95" customHeight="1">
      <c r="C155" s="183" t="s">
        <v>1</v>
      </c>
      <c r="D155" s="378">
        <f>U154*100</f>
        <v>1.5349428571428571E-2</v>
      </c>
      <c r="E155" s="378"/>
      <c r="F155" s="378"/>
      <c r="G155" s="5" t="s">
        <v>152</v>
      </c>
      <c r="L155" s="183"/>
      <c r="M155" s="183"/>
      <c r="N155" s="182"/>
      <c r="O155" s="161"/>
      <c r="P155" s="153"/>
      <c r="Q155" s="183"/>
      <c r="R155" s="158"/>
      <c r="S155" s="158"/>
      <c r="AA155" s="10"/>
      <c r="AC155" s="5"/>
    </row>
    <row r="156" spans="2:38" ht="9.9499999999999993" customHeight="1">
      <c r="C156" s="183"/>
      <c r="D156" s="158"/>
      <c r="E156" s="158"/>
      <c r="F156" s="158"/>
      <c r="L156" s="183"/>
      <c r="M156" s="183"/>
      <c r="N156" s="182"/>
      <c r="O156" s="161"/>
      <c r="P156" s="153"/>
      <c r="Q156" s="183"/>
      <c r="R156" s="158"/>
      <c r="S156" s="158"/>
      <c r="AA156" s="10"/>
      <c r="AC156" s="5"/>
    </row>
    <row r="157" spans="2:38" ht="12.95" customHeight="1">
      <c r="B157" s="5" t="s">
        <v>362</v>
      </c>
      <c r="L157" s="183"/>
      <c r="M157" s="183"/>
      <c r="N157" s="182"/>
      <c r="O157" s="161"/>
      <c r="P157" s="153"/>
      <c r="Q157" s="183"/>
      <c r="R157" s="158"/>
      <c r="S157" s="158"/>
      <c r="AA157" s="10"/>
      <c r="AC157" s="5"/>
    </row>
    <row r="158" spans="2:38" ht="12.95" customHeight="1">
      <c r="B158" s="5" t="s">
        <v>633</v>
      </c>
      <c r="D158" s="5" t="s">
        <v>367</v>
      </c>
      <c r="G158" s="183" t="s">
        <v>1</v>
      </c>
      <c r="H158" s="379">
        <f>R9</f>
        <v>0</v>
      </c>
      <c r="I158" s="379"/>
      <c r="J158" s="379"/>
      <c r="K158" s="16" t="s">
        <v>366</v>
      </c>
      <c r="L158" s="183"/>
      <c r="M158" s="183"/>
      <c r="N158" s="5" t="s">
        <v>375</v>
      </c>
      <c r="P158" s="5" t="s">
        <v>376</v>
      </c>
      <c r="T158" s="183" t="s">
        <v>1</v>
      </c>
      <c r="U158" s="367">
        <f>IF(H160&lt;1.5,0.5,IF(H160&lt;=6.5,0.65-0.1*H160,0))</f>
        <v>0.25</v>
      </c>
      <c r="V158" s="367"/>
      <c r="W158" s="367"/>
      <c r="AA158" s="10"/>
      <c r="AC158" s="5"/>
    </row>
    <row r="159" spans="2:38" ht="12.95" customHeight="1">
      <c r="B159" s="5" t="s">
        <v>368</v>
      </c>
      <c r="D159" s="5" t="s">
        <v>369</v>
      </c>
      <c r="G159" s="183" t="s">
        <v>1</v>
      </c>
      <c r="H159" s="369">
        <v>0.2</v>
      </c>
      <c r="I159" s="369"/>
      <c r="J159" s="369"/>
      <c r="K159" s="5" t="s">
        <v>8</v>
      </c>
      <c r="L159" s="183"/>
      <c r="M159" s="183"/>
      <c r="N159" s="5" t="s">
        <v>388</v>
      </c>
      <c r="P159" s="5" t="s">
        <v>389</v>
      </c>
      <c r="S159" s="183"/>
      <c r="T159" s="161" t="s">
        <v>1</v>
      </c>
      <c r="U159" s="386">
        <f>R17</f>
        <v>3.0669954606320801E-3</v>
      </c>
      <c r="V159" s="386"/>
      <c r="W159" s="386"/>
      <c r="X159" s="5" t="s">
        <v>634</v>
      </c>
      <c r="AA159" s="10"/>
      <c r="AC159" s="5"/>
    </row>
    <row r="160" spans="2:38" ht="12.95" customHeight="1">
      <c r="B160" s="5" t="s">
        <v>370</v>
      </c>
      <c r="D160" s="5" t="s">
        <v>371</v>
      </c>
      <c r="G160" s="183" t="s">
        <v>1</v>
      </c>
      <c r="H160" s="366">
        <f>K5</f>
        <v>4</v>
      </c>
      <c r="I160" s="240"/>
      <c r="J160" s="240"/>
      <c r="K160" s="5" t="s">
        <v>8</v>
      </c>
      <c r="L160" s="183"/>
      <c r="M160" s="183"/>
      <c r="N160" s="5" t="s">
        <v>391</v>
      </c>
      <c r="P160" s="5" t="s">
        <v>393</v>
      </c>
      <c r="S160" s="183"/>
      <c r="T160" s="161" t="s">
        <v>1</v>
      </c>
      <c r="U160" s="386">
        <f>2*U159/R14</f>
        <v>6.1339909212641602E-3</v>
      </c>
      <c r="V160" s="386"/>
      <c r="W160" s="386"/>
      <c r="X160" s="5" t="s">
        <v>635</v>
      </c>
      <c r="AA160" s="10"/>
      <c r="AC160" s="5"/>
    </row>
    <row r="161" spans="2:29" ht="12.95" customHeight="1">
      <c r="B161" s="5" t="s">
        <v>636</v>
      </c>
      <c r="D161" s="5" t="s">
        <v>373</v>
      </c>
      <c r="G161" s="183" t="s">
        <v>1</v>
      </c>
      <c r="H161" s="369">
        <v>45</v>
      </c>
      <c r="I161" s="369"/>
      <c r="J161" s="369"/>
      <c r="K161" s="5" t="s">
        <v>374</v>
      </c>
      <c r="L161" s="183"/>
      <c r="M161" s="183"/>
      <c r="N161" s="5" t="s">
        <v>395</v>
      </c>
      <c r="O161" s="161"/>
      <c r="P161" s="5" t="s">
        <v>396</v>
      </c>
      <c r="Q161" s="183"/>
      <c r="R161" s="158"/>
      <c r="S161" s="158"/>
      <c r="T161" s="161" t="s">
        <v>1</v>
      </c>
      <c r="U161" s="240">
        <v>100</v>
      </c>
      <c r="V161" s="240"/>
      <c r="W161" s="240"/>
      <c r="X161" s="5" t="s">
        <v>631</v>
      </c>
      <c r="AA161" s="10"/>
      <c r="AC161" s="5"/>
    </row>
    <row r="162" spans="2:29" ht="9.9499999999999993" customHeight="1">
      <c r="AA162" s="10"/>
      <c r="AC162" s="5"/>
    </row>
    <row r="163" spans="2:29" ht="12.95" customHeight="1">
      <c r="B163" s="165" t="s">
        <v>637</v>
      </c>
      <c r="L163" s="183"/>
      <c r="M163" s="183"/>
      <c r="N163" s="182"/>
      <c r="O163" s="161"/>
      <c r="P163" s="153"/>
      <c r="Q163" s="183"/>
      <c r="R163" s="158"/>
      <c r="S163" s="158"/>
      <c r="AA163" s="10"/>
      <c r="AC163" s="5"/>
    </row>
    <row r="164" spans="2:29" ht="12.95" customHeight="1">
      <c r="B164" s="153" t="s">
        <v>638</v>
      </c>
      <c r="C164" s="156" t="s">
        <v>207</v>
      </c>
      <c r="D164" s="53" t="s">
        <v>2</v>
      </c>
      <c r="E164" s="153">
        <v>2</v>
      </c>
      <c r="F164" s="182" t="s">
        <v>9</v>
      </c>
      <c r="G164" s="153" t="s">
        <v>639</v>
      </c>
      <c r="H164" s="182" t="s">
        <v>9</v>
      </c>
      <c r="I164" s="153" t="s">
        <v>328</v>
      </c>
      <c r="J164" s="5" t="s">
        <v>4</v>
      </c>
      <c r="K164" s="183" t="s">
        <v>5</v>
      </c>
      <c r="L164" s="53" t="s">
        <v>2</v>
      </c>
      <c r="M164" s="371">
        <v>275</v>
      </c>
      <c r="N164" s="371"/>
      <c r="O164" s="182" t="s">
        <v>9</v>
      </c>
      <c r="P164" s="153" t="s">
        <v>2</v>
      </c>
      <c r="Q164" s="183" t="s">
        <v>380</v>
      </c>
      <c r="R164" s="158" t="s">
        <v>3</v>
      </c>
      <c r="S164" s="188" t="s">
        <v>640</v>
      </c>
      <c r="U164" s="153"/>
      <c r="V164" s="182" t="s">
        <v>9</v>
      </c>
      <c r="W164" s="5" t="s">
        <v>381</v>
      </c>
      <c r="AA164" s="10"/>
      <c r="AC164" s="5"/>
    </row>
    <row r="165" spans="2:29" ht="12.95" customHeight="1">
      <c r="C165" s="156" t="s">
        <v>207</v>
      </c>
      <c r="D165" s="366">
        <f>((2*H158*H147)/(275*(H159+2*H160*TAN(RADIANS(H161))))*(1+U158))*100</f>
        <v>0</v>
      </c>
      <c r="E165" s="366"/>
      <c r="F165" s="366"/>
      <c r="G165" s="5" t="s">
        <v>631</v>
      </c>
      <c r="I165" s="156"/>
      <c r="J165" s="189"/>
      <c r="K165" s="189"/>
      <c r="L165" s="189"/>
      <c r="M165" s="183"/>
      <c r="N165" s="182"/>
      <c r="O165" s="161"/>
      <c r="P165" s="153"/>
      <c r="Q165" s="183"/>
      <c r="R165" s="158"/>
      <c r="AA165" s="10"/>
      <c r="AC165" s="5"/>
    </row>
    <row r="166" spans="2:29" ht="9.9499999999999993" customHeight="1">
      <c r="C166" s="156"/>
      <c r="D166" s="158"/>
      <c r="E166" s="158"/>
      <c r="F166" s="158"/>
      <c r="I166" s="156"/>
      <c r="J166" s="189"/>
      <c r="K166" s="189"/>
      <c r="L166" s="189"/>
      <c r="M166" s="183"/>
      <c r="N166" s="182"/>
      <c r="O166" s="161"/>
      <c r="P166" s="153"/>
      <c r="Q166" s="183"/>
      <c r="R166" s="158"/>
      <c r="AA166" s="10"/>
      <c r="AC166" s="5"/>
    </row>
    <row r="167" spans="2:29" ht="12.95" customHeight="1">
      <c r="B167" s="165" t="s">
        <v>383</v>
      </c>
      <c r="C167" s="156"/>
      <c r="D167" s="158"/>
      <c r="E167" s="158"/>
      <c r="F167" s="158"/>
      <c r="I167" s="156"/>
      <c r="J167" s="160"/>
      <c r="K167" s="160"/>
      <c r="L167" s="160"/>
      <c r="M167" s="183"/>
      <c r="N167" s="182"/>
      <c r="O167" s="161"/>
      <c r="P167" s="153"/>
      <c r="Q167" s="183"/>
      <c r="R167" s="158"/>
      <c r="S167" s="158"/>
      <c r="AA167" s="10"/>
      <c r="AC167" s="5"/>
    </row>
    <row r="168" spans="2:29" ht="12.95" customHeight="1">
      <c r="B168" s="382" t="s">
        <v>641</v>
      </c>
      <c r="C168" s="381" t="s">
        <v>207</v>
      </c>
      <c r="D168" s="387">
        <v>0.32200000000000001</v>
      </c>
      <c r="E168" s="387"/>
      <c r="F168" s="159" t="s">
        <v>9</v>
      </c>
      <c r="G168" s="388" t="s">
        <v>638</v>
      </c>
      <c r="H168" s="388"/>
      <c r="I168" s="240" t="s">
        <v>9</v>
      </c>
      <c r="J168" s="386" t="s">
        <v>385</v>
      </c>
      <c r="K168" s="190" t="s">
        <v>288</v>
      </c>
      <c r="L168" s="191" t="s">
        <v>9</v>
      </c>
      <c r="M168" s="192" t="s">
        <v>20</v>
      </c>
      <c r="N168" s="240" t="s">
        <v>1</v>
      </c>
      <c r="O168" s="389">
        <f>((0.322*D165/(U160*H149))*(SQRT((R12*R17/(U161*R14)))))/10</f>
        <v>0</v>
      </c>
      <c r="P168" s="389"/>
      <c r="Q168" s="389"/>
      <c r="R168" s="366" t="s">
        <v>1</v>
      </c>
      <c r="S168" s="378">
        <f>O168*100</f>
        <v>0</v>
      </c>
      <c r="T168" s="378"/>
      <c r="U168" s="378"/>
      <c r="V168" s="240" t="s">
        <v>152</v>
      </c>
      <c r="AA168" s="10"/>
      <c r="AC168" s="5"/>
    </row>
    <row r="169" spans="2:29" ht="12.95" customHeight="1">
      <c r="B169" s="382"/>
      <c r="C169" s="381"/>
      <c r="D169" s="366" t="s">
        <v>440</v>
      </c>
      <c r="E169" s="366"/>
      <c r="F169" s="366"/>
      <c r="G169" s="366"/>
      <c r="H169" s="366"/>
      <c r="I169" s="240"/>
      <c r="J169" s="386"/>
      <c r="K169" s="160" t="s">
        <v>386</v>
      </c>
      <c r="L169" s="160" t="s">
        <v>387</v>
      </c>
      <c r="M169" s="160" t="s">
        <v>328</v>
      </c>
      <c r="N169" s="240"/>
      <c r="O169" s="389"/>
      <c r="P169" s="389"/>
      <c r="Q169" s="389"/>
      <c r="R169" s="366"/>
      <c r="S169" s="378"/>
      <c r="T169" s="378"/>
      <c r="U169" s="378"/>
      <c r="V169" s="240"/>
      <c r="AA169" s="10"/>
      <c r="AC169" s="5"/>
    </row>
    <row r="170" spans="2:29" ht="9.9499999999999993" customHeight="1">
      <c r="C170" s="156"/>
      <c r="D170" s="158"/>
      <c r="E170" s="158"/>
      <c r="F170" s="158"/>
      <c r="I170" s="156"/>
      <c r="J170" s="160"/>
      <c r="K170" s="160"/>
      <c r="L170" s="160"/>
      <c r="M170" s="183"/>
      <c r="N170" s="182"/>
      <c r="O170" s="161"/>
      <c r="P170" s="153"/>
      <c r="Q170" s="183"/>
      <c r="R170" s="158"/>
      <c r="S170" s="158"/>
      <c r="AA170" s="10"/>
      <c r="AC170" s="5"/>
    </row>
    <row r="171" spans="2:29" ht="12.95" customHeight="1">
      <c r="B171" s="5" t="s">
        <v>399</v>
      </c>
      <c r="L171" s="183"/>
      <c r="M171" s="183"/>
      <c r="N171" s="182"/>
      <c r="O171" s="161"/>
      <c r="P171" s="153"/>
      <c r="Q171" s="183"/>
      <c r="R171" s="158"/>
      <c r="S171" s="158"/>
      <c r="AA171" s="10"/>
      <c r="AC171" s="5"/>
    </row>
    <row r="172" spans="2:29" ht="12.95" customHeight="1">
      <c r="B172" s="5" t="s">
        <v>642</v>
      </c>
      <c r="D172" s="5" t="s">
        <v>401</v>
      </c>
      <c r="G172" s="183" t="s">
        <v>1</v>
      </c>
      <c r="H172" s="379">
        <f>K7</f>
        <v>20</v>
      </c>
      <c r="I172" s="379"/>
      <c r="J172" s="165" t="s">
        <v>254</v>
      </c>
      <c r="K172" s="16"/>
      <c r="L172" s="183"/>
      <c r="M172" s="183"/>
      <c r="N172" s="182"/>
      <c r="O172" s="161"/>
      <c r="P172" s="153"/>
      <c r="Q172" s="183"/>
      <c r="R172" s="158"/>
      <c r="S172" s="158"/>
      <c r="AA172" s="10"/>
      <c r="AC172" s="5"/>
    </row>
    <row r="173" spans="2:29" ht="12.95" customHeight="1">
      <c r="B173" s="5" t="s">
        <v>643</v>
      </c>
      <c r="D173" s="5" t="s">
        <v>403</v>
      </c>
      <c r="G173" s="183" t="s">
        <v>1</v>
      </c>
      <c r="H173" s="240">
        <f>1.2*10^-5</f>
        <v>1.2E-5</v>
      </c>
      <c r="I173" s="240"/>
      <c r="J173" s="240"/>
      <c r="K173" s="165" t="s">
        <v>566</v>
      </c>
      <c r="L173" s="183"/>
      <c r="M173" s="183"/>
      <c r="N173" s="182"/>
      <c r="O173" s="161"/>
      <c r="P173" s="153"/>
      <c r="Q173" s="183"/>
      <c r="R173" s="158"/>
      <c r="S173" s="158"/>
      <c r="AA173" s="10"/>
      <c r="AC173" s="5"/>
    </row>
    <row r="174" spans="2:29" ht="9.9499999999999993" customHeight="1">
      <c r="L174" s="183"/>
      <c r="M174" s="183"/>
      <c r="N174" s="182"/>
      <c r="O174" s="161"/>
      <c r="P174" s="153"/>
      <c r="Q174" s="183"/>
      <c r="R174" s="158"/>
      <c r="S174" s="158"/>
      <c r="T174" s="153"/>
      <c r="AA174" s="10"/>
      <c r="AC174" s="5"/>
    </row>
    <row r="175" spans="2:29" ht="12.95" customHeight="1">
      <c r="B175" s="155" t="s">
        <v>644</v>
      </c>
      <c r="C175" s="156" t="s">
        <v>207</v>
      </c>
      <c r="D175" s="382" t="s">
        <v>404</v>
      </c>
      <c r="E175" s="240"/>
      <c r="F175" s="182" t="s">
        <v>9</v>
      </c>
      <c r="G175" s="382" t="s">
        <v>405</v>
      </c>
      <c r="H175" s="240"/>
      <c r="I175" s="156" t="s">
        <v>207</v>
      </c>
      <c r="J175" s="240">
        <f>H173</f>
        <v>1.2E-5</v>
      </c>
      <c r="K175" s="240"/>
      <c r="L175" s="240"/>
      <c r="M175" s="182" t="s">
        <v>9</v>
      </c>
      <c r="N175" s="379">
        <f>H172</f>
        <v>20</v>
      </c>
      <c r="O175" s="240"/>
      <c r="S175" s="182"/>
      <c r="T175" s="369"/>
      <c r="U175" s="240"/>
      <c r="AA175" s="10"/>
      <c r="AC175" s="5"/>
    </row>
    <row r="176" spans="2:29" ht="12.95" customHeight="1">
      <c r="C176" s="156" t="s">
        <v>207</v>
      </c>
      <c r="D176" s="386">
        <f>J175*N175</f>
        <v>2.4000000000000001E-4</v>
      </c>
      <c r="E176" s="386"/>
      <c r="F176" s="386"/>
      <c r="G176" s="156" t="s">
        <v>207</v>
      </c>
      <c r="H176" s="378">
        <f>D176*100</f>
        <v>2.4E-2</v>
      </c>
      <c r="I176" s="378"/>
      <c r="J176" s="378"/>
      <c r="K176" s="5" t="s">
        <v>152</v>
      </c>
      <c r="L176" s="183"/>
      <c r="M176" s="183"/>
      <c r="N176" s="182"/>
      <c r="O176" s="161"/>
      <c r="P176" s="153"/>
      <c r="Q176" s="183"/>
      <c r="R176" s="158"/>
      <c r="S176" s="158"/>
      <c r="AA176" s="10"/>
      <c r="AC176" s="5"/>
    </row>
    <row r="177" spans="2:29" ht="9.9499999999999993" customHeight="1">
      <c r="L177" s="183"/>
      <c r="M177" s="183"/>
      <c r="N177" s="182"/>
      <c r="O177" s="161"/>
      <c r="P177" s="153"/>
      <c r="Q177" s="183"/>
      <c r="R177" s="158"/>
      <c r="S177" s="158"/>
      <c r="AA177" s="10"/>
      <c r="AC177" s="5"/>
    </row>
    <row r="178" spans="2:29" ht="12.95" customHeight="1">
      <c r="B178" s="5" t="s">
        <v>406</v>
      </c>
      <c r="L178" s="183"/>
      <c r="M178" s="183"/>
      <c r="N178" s="182"/>
      <c r="O178" s="161"/>
      <c r="P178" s="153"/>
      <c r="Q178" s="183"/>
      <c r="R178" s="158"/>
      <c r="S178" s="158"/>
      <c r="AA178" s="10"/>
      <c r="AC178" s="5"/>
    </row>
    <row r="179" spans="2:29" ht="12.95" customHeight="1">
      <c r="B179" s="5" t="s">
        <v>645</v>
      </c>
      <c r="D179" s="5" t="s">
        <v>441</v>
      </c>
      <c r="H179" s="183" t="s">
        <v>1</v>
      </c>
      <c r="I179" s="379">
        <f>K10</f>
        <v>0</v>
      </c>
      <c r="J179" s="379"/>
      <c r="K179" s="379"/>
      <c r="L179" s="16" t="s">
        <v>210</v>
      </c>
      <c r="M179" s="183"/>
      <c r="N179" s="5" t="s">
        <v>444</v>
      </c>
      <c r="P179" s="5" t="s">
        <v>443</v>
      </c>
      <c r="T179" s="183" t="s">
        <v>1</v>
      </c>
      <c r="U179" s="369">
        <f>U10</f>
        <v>0</v>
      </c>
      <c r="V179" s="369"/>
      <c r="W179" s="369"/>
      <c r="X179" s="5" t="s">
        <v>8</v>
      </c>
      <c r="AA179" s="10"/>
      <c r="AC179" s="5"/>
    </row>
    <row r="180" spans="2:29" ht="12.95" customHeight="1">
      <c r="B180" s="5" t="s">
        <v>370</v>
      </c>
      <c r="D180" s="5" t="s">
        <v>442</v>
      </c>
      <c r="H180" s="183" t="s">
        <v>1</v>
      </c>
      <c r="I180" s="369">
        <f>K5</f>
        <v>4</v>
      </c>
      <c r="J180" s="369"/>
      <c r="K180" s="369"/>
      <c r="L180" s="5" t="s">
        <v>8</v>
      </c>
      <c r="M180" s="183"/>
      <c r="N180" s="5" t="s">
        <v>646</v>
      </c>
      <c r="P180" s="5" t="s">
        <v>445</v>
      </c>
      <c r="T180" s="183" t="s">
        <v>1</v>
      </c>
      <c r="U180" s="369">
        <f>K6</f>
        <v>19</v>
      </c>
      <c r="V180" s="369"/>
      <c r="W180" s="369"/>
      <c r="X180" s="5" t="s">
        <v>631</v>
      </c>
      <c r="Y180" s="183"/>
      <c r="AA180" s="10"/>
      <c r="AC180" s="5"/>
    </row>
    <row r="181" spans="2:29" ht="12.95" customHeight="1">
      <c r="B181" s="5" t="s">
        <v>388</v>
      </c>
      <c r="D181" s="5" t="s">
        <v>389</v>
      </c>
      <c r="H181" s="183" t="s">
        <v>1</v>
      </c>
      <c r="I181" s="386">
        <f>R17</f>
        <v>3.0669954606320801E-3</v>
      </c>
      <c r="J181" s="386"/>
      <c r="K181" s="386"/>
      <c r="L181" s="5" t="s">
        <v>634</v>
      </c>
      <c r="N181" s="5" t="s">
        <v>647</v>
      </c>
      <c r="P181" s="5" t="s">
        <v>448</v>
      </c>
      <c r="T181" s="183" t="s">
        <v>1</v>
      </c>
      <c r="U181" s="369">
        <f>D280</f>
        <v>82.021100647624948</v>
      </c>
      <c r="V181" s="369"/>
      <c r="W181" s="369"/>
      <c r="X181" s="5" t="s">
        <v>327</v>
      </c>
      <c r="AA181" s="10"/>
      <c r="AC181" s="5"/>
    </row>
    <row r="182" spans="2:29" ht="5.0999999999999996" customHeight="1">
      <c r="G182" s="183"/>
      <c r="M182" s="183"/>
      <c r="N182" s="182"/>
      <c r="O182" s="161"/>
      <c r="P182" s="153"/>
      <c r="Q182" s="183"/>
      <c r="R182" s="158"/>
      <c r="S182" s="158"/>
      <c r="AA182" s="10"/>
      <c r="AC182" s="5"/>
    </row>
    <row r="183" spans="2:29" ht="12.95" customHeight="1">
      <c r="B183" s="153" t="s">
        <v>648</v>
      </c>
      <c r="C183" s="156" t="s">
        <v>207</v>
      </c>
      <c r="D183" s="157" t="s">
        <v>452</v>
      </c>
      <c r="E183" s="182" t="s">
        <v>9</v>
      </c>
      <c r="F183" s="240" t="s">
        <v>453</v>
      </c>
      <c r="G183" s="240"/>
      <c r="H183" s="240"/>
      <c r="I183" s="182" t="s">
        <v>9</v>
      </c>
      <c r="J183" s="153" t="s">
        <v>328</v>
      </c>
      <c r="L183" s="183" t="s">
        <v>1</v>
      </c>
      <c r="M183" s="371">
        <f>U180*(I180+U179)*R14</f>
        <v>76</v>
      </c>
      <c r="N183" s="371"/>
      <c r="O183" s="371"/>
      <c r="P183" s="5" t="s">
        <v>454</v>
      </c>
      <c r="Q183" s="183"/>
      <c r="R183" s="158"/>
      <c r="S183" s="158"/>
      <c r="AA183" s="10"/>
      <c r="AC183" s="5"/>
    </row>
    <row r="184" spans="2:29" ht="12.95" customHeight="1">
      <c r="B184" s="157" t="s">
        <v>449</v>
      </c>
      <c r="C184" s="156" t="s">
        <v>207</v>
      </c>
      <c r="D184" s="193">
        <v>4</v>
      </c>
      <c r="E184" s="153" t="s">
        <v>385</v>
      </c>
      <c r="F184" s="153" t="s">
        <v>2</v>
      </c>
      <c r="G184" s="153" t="s">
        <v>649</v>
      </c>
      <c r="H184" s="62" t="s">
        <v>5</v>
      </c>
      <c r="I184" s="154" t="s">
        <v>450</v>
      </c>
      <c r="J184" s="154" t="s">
        <v>4</v>
      </c>
      <c r="L184" s="183" t="s">
        <v>1</v>
      </c>
      <c r="M184" s="390">
        <f>((U181*1000)/(4*H149*I181))^(1/4)</f>
        <v>0.42240912695798755</v>
      </c>
      <c r="N184" s="390"/>
      <c r="O184" s="390"/>
      <c r="P184" s="153" t="s">
        <v>650</v>
      </c>
      <c r="Q184" s="183"/>
      <c r="R184" s="158"/>
      <c r="S184" s="158"/>
      <c r="AA184" s="10"/>
      <c r="AC184" s="5"/>
    </row>
    <row r="185" spans="2:29" ht="12.95" customHeight="1">
      <c r="B185" s="157" t="s">
        <v>651</v>
      </c>
      <c r="C185" s="156" t="s">
        <v>207</v>
      </c>
      <c r="D185" s="378">
        <f>M184</f>
        <v>0.42240912695798755</v>
      </c>
      <c r="E185" s="240"/>
      <c r="F185" s="240"/>
      <c r="G185" s="182" t="s">
        <v>9</v>
      </c>
      <c r="H185" s="369">
        <f>I179</f>
        <v>0</v>
      </c>
      <c r="I185" s="369"/>
      <c r="J185" s="369"/>
      <c r="L185" s="183" t="s">
        <v>1</v>
      </c>
      <c r="M185" s="391">
        <f>D185*H185</f>
        <v>0</v>
      </c>
      <c r="N185" s="391"/>
      <c r="O185" s="391"/>
      <c r="P185" s="153"/>
      <c r="Q185" s="183"/>
      <c r="R185" s="158"/>
      <c r="S185" s="158"/>
      <c r="AA185" s="10"/>
      <c r="AC185" s="5"/>
    </row>
    <row r="186" spans="2:29" ht="12.95" customHeight="1">
      <c r="B186" s="240" t="s">
        <v>652</v>
      </c>
      <c r="C186" s="240" t="s">
        <v>186</v>
      </c>
      <c r="D186" s="388" t="s">
        <v>648</v>
      </c>
      <c r="E186" s="388"/>
      <c r="F186" s="388"/>
      <c r="G186" s="371" t="s">
        <v>50</v>
      </c>
      <c r="H186" s="369" t="s">
        <v>653</v>
      </c>
      <c r="I186" s="369"/>
      <c r="J186" s="371" t="s">
        <v>50</v>
      </c>
      <c r="K186" s="240" t="s">
        <v>451</v>
      </c>
      <c r="L186" s="240"/>
      <c r="M186" s="392" t="s">
        <v>654</v>
      </c>
      <c r="N186" s="393"/>
      <c r="R186" s="367" t="s">
        <v>1</v>
      </c>
      <c r="S186" s="367">
        <f>(M183/(2*M184^2))*EXP((-M185/2))*SIN(M185/2)</f>
        <v>0</v>
      </c>
      <c r="T186" s="367"/>
      <c r="U186" s="367"/>
      <c r="V186" s="394" t="s">
        <v>454</v>
      </c>
      <c r="W186" s="394"/>
      <c r="AA186" s="10"/>
      <c r="AC186" s="5"/>
    </row>
    <row r="187" spans="2:29" ht="12.95" customHeight="1">
      <c r="B187" s="240"/>
      <c r="C187" s="240"/>
      <c r="D187" s="240" t="s">
        <v>655</v>
      </c>
      <c r="E187" s="240"/>
      <c r="F187" s="240"/>
      <c r="G187" s="371"/>
      <c r="H187" s="369"/>
      <c r="I187" s="369"/>
      <c r="J187" s="371"/>
      <c r="K187" s="240"/>
      <c r="L187" s="240"/>
      <c r="M187" s="371">
        <v>2</v>
      </c>
      <c r="N187" s="371"/>
      <c r="R187" s="367"/>
      <c r="S187" s="367"/>
      <c r="T187" s="367"/>
      <c r="U187" s="367"/>
      <c r="V187" s="394"/>
      <c r="W187" s="394"/>
      <c r="AA187" s="10"/>
      <c r="AC187" s="5"/>
    </row>
    <row r="188" spans="2:29" ht="12.95" customHeight="1">
      <c r="B188" s="240" t="s">
        <v>656</v>
      </c>
      <c r="C188" s="240" t="s">
        <v>186</v>
      </c>
      <c r="D188" s="240">
        <v>0.38769999999999999</v>
      </c>
      <c r="E188" s="240"/>
      <c r="F188" s="240" t="s">
        <v>648</v>
      </c>
      <c r="G188" s="240"/>
      <c r="H188" s="369" t="s">
        <v>455</v>
      </c>
      <c r="I188" s="369" t="s">
        <v>657</v>
      </c>
      <c r="J188" s="369"/>
      <c r="K188" s="369"/>
      <c r="L188" s="369"/>
      <c r="M188" s="369"/>
      <c r="N188" s="369"/>
      <c r="O188" s="369"/>
      <c r="P188" s="369"/>
      <c r="Q188" s="371" t="s">
        <v>456</v>
      </c>
      <c r="R188" s="367" t="s">
        <v>1</v>
      </c>
      <c r="S188" s="367">
        <f>0.3877*(M183/M184^2)*(0.2079+EXP(-M185)*(SIN(M185)-COS(M185)))</f>
        <v>-130.80454058236248</v>
      </c>
      <c r="T188" s="367"/>
      <c r="U188" s="367"/>
      <c r="V188" s="394" t="s">
        <v>454</v>
      </c>
      <c r="W188" s="394"/>
      <c r="AA188" s="10"/>
      <c r="AC188" s="5"/>
    </row>
    <row r="189" spans="2:29" ht="12.95" customHeight="1">
      <c r="B189" s="240"/>
      <c r="C189" s="240"/>
      <c r="D189" s="240"/>
      <c r="E189" s="240"/>
      <c r="F189" s="382" t="s">
        <v>658</v>
      </c>
      <c r="G189" s="240"/>
      <c r="H189" s="369"/>
      <c r="I189" s="369"/>
      <c r="J189" s="369"/>
      <c r="K189" s="369"/>
      <c r="L189" s="369"/>
      <c r="M189" s="369"/>
      <c r="N189" s="369"/>
      <c r="O189" s="369"/>
      <c r="P189" s="369"/>
      <c r="Q189" s="371"/>
      <c r="R189" s="367"/>
      <c r="S189" s="367"/>
      <c r="T189" s="367"/>
      <c r="U189" s="367"/>
      <c r="V189" s="394"/>
      <c r="W189" s="394"/>
      <c r="AA189" s="10"/>
      <c r="AC189" s="5"/>
    </row>
    <row r="190" spans="2:29" ht="5.0999999999999996" customHeight="1">
      <c r="B190" s="153"/>
      <c r="C190" s="153"/>
      <c r="D190" s="153"/>
      <c r="E190" s="153"/>
      <c r="F190" s="157"/>
      <c r="G190" s="153"/>
      <c r="H190" s="154"/>
      <c r="I190" s="154"/>
      <c r="J190" s="154"/>
      <c r="K190" s="154"/>
      <c r="L190" s="154"/>
      <c r="M190" s="154"/>
      <c r="N190" s="154"/>
      <c r="O190" s="154"/>
      <c r="P190" s="154"/>
      <c r="Q190" s="183"/>
      <c r="R190" s="161"/>
      <c r="S190" s="161"/>
      <c r="T190" s="161"/>
      <c r="U190" s="161"/>
      <c r="V190" s="188"/>
      <c r="W190" s="188"/>
      <c r="AA190" s="10"/>
      <c r="AC190" s="5"/>
    </row>
    <row r="191" spans="2:29" ht="12.95" customHeight="1">
      <c r="B191" s="153" t="s">
        <v>457</v>
      </c>
      <c r="C191" s="156" t="s">
        <v>207</v>
      </c>
      <c r="D191" s="240" t="s">
        <v>458</v>
      </c>
      <c r="E191" s="240"/>
      <c r="F191" s="240"/>
      <c r="G191" s="240"/>
      <c r="H191" s="154" t="s">
        <v>1</v>
      </c>
      <c r="I191" s="367">
        <f>MAX(S186:U189)</f>
        <v>0</v>
      </c>
      <c r="J191" s="367"/>
      <c r="K191" s="367"/>
      <c r="L191" s="63" t="s">
        <v>454</v>
      </c>
      <c r="M191" s="154"/>
      <c r="N191" s="154"/>
      <c r="O191" s="154"/>
      <c r="P191" s="154"/>
      <c r="Q191" s="183"/>
      <c r="R191" s="161"/>
      <c r="S191" s="161"/>
      <c r="T191" s="161"/>
      <c r="U191" s="161"/>
      <c r="V191" s="188"/>
      <c r="W191" s="188"/>
      <c r="AA191" s="10"/>
      <c r="AC191" s="5"/>
    </row>
    <row r="192" spans="2:29" ht="12.95" customHeight="1">
      <c r="B192" s="153"/>
      <c r="C192" s="153"/>
      <c r="D192" s="153"/>
      <c r="E192" s="153"/>
      <c r="F192" s="157"/>
      <c r="G192" s="153"/>
      <c r="H192" s="154"/>
      <c r="I192" s="154"/>
      <c r="J192" s="154"/>
      <c r="K192" s="154"/>
      <c r="L192" s="154"/>
      <c r="M192" s="154"/>
      <c r="N192" s="154"/>
      <c r="O192" s="154"/>
      <c r="P192" s="154"/>
      <c r="Q192" s="183"/>
      <c r="R192" s="161"/>
      <c r="S192" s="161"/>
      <c r="T192" s="161"/>
      <c r="U192" s="161"/>
      <c r="V192" s="188"/>
      <c r="W192" s="188"/>
      <c r="AA192" s="10"/>
      <c r="AC192" s="5"/>
    </row>
    <row r="193" spans="1:29" ht="12.95" customHeight="1">
      <c r="B193" s="157" t="s">
        <v>659</v>
      </c>
      <c r="C193" s="156" t="s">
        <v>207</v>
      </c>
      <c r="D193" s="240" t="s">
        <v>459</v>
      </c>
      <c r="E193" s="240"/>
      <c r="F193" s="240"/>
      <c r="G193" s="182" t="s">
        <v>9</v>
      </c>
      <c r="H193" s="369" t="s">
        <v>460</v>
      </c>
      <c r="I193" s="369"/>
      <c r="J193" s="369"/>
      <c r="K193" s="183" t="s">
        <v>1</v>
      </c>
      <c r="L193" s="396">
        <f>(I191/(H149*I181))*(R14/2)</f>
        <v>0</v>
      </c>
      <c r="M193" s="396"/>
      <c r="N193" s="396"/>
      <c r="O193" s="183" t="s">
        <v>1</v>
      </c>
      <c r="P193" s="378">
        <f>L193*100</f>
        <v>0</v>
      </c>
      <c r="Q193" s="378"/>
      <c r="R193" s="378"/>
      <c r="S193" s="194" t="s">
        <v>152</v>
      </c>
      <c r="T193" s="161"/>
      <c r="U193" s="161"/>
      <c r="V193" s="188"/>
      <c r="W193" s="188"/>
      <c r="AA193" s="10"/>
      <c r="AC193" s="5"/>
    </row>
    <row r="194" spans="1:29" ht="12.95" customHeight="1">
      <c r="B194" s="157"/>
      <c r="C194" s="156"/>
      <c r="D194" s="153"/>
      <c r="E194" s="153"/>
      <c r="F194" s="157"/>
      <c r="G194" s="153"/>
      <c r="H194" s="154"/>
      <c r="I194" s="154"/>
      <c r="J194" s="154"/>
      <c r="K194" s="154"/>
      <c r="L194" s="154"/>
      <c r="M194" s="154"/>
      <c r="N194" s="154"/>
      <c r="O194" s="154"/>
      <c r="P194" s="154"/>
      <c r="Q194" s="183"/>
      <c r="R194" s="161"/>
      <c r="S194" s="161"/>
      <c r="T194" s="161"/>
      <c r="U194" s="161"/>
      <c r="V194" s="188"/>
      <c r="W194" s="188"/>
      <c r="AA194" s="10"/>
      <c r="AC194" s="5"/>
    </row>
    <row r="195" spans="1:29" ht="12.95" customHeight="1">
      <c r="A195" s="5" t="s">
        <v>343</v>
      </c>
      <c r="AA195" s="10"/>
      <c r="AC195" s="5"/>
    </row>
    <row r="196" spans="1:29" ht="12.95" customHeight="1">
      <c r="B196" s="5" t="s">
        <v>103</v>
      </c>
      <c r="AA196" s="10"/>
      <c r="AC196" s="5"/>
    </row>
    <row r="197" spans="1:29" ht="12.95" customHeight="1">
      <c r="B197" s="5" t="s">
        <v>104</v>
      </c>
      <c r="AA197" s="10"/>
      <c r="AC197" s="5"/>
    </row>
    <row r="198" spans="1:29" ht="12.95" customHeight="1">
      <c r="B198" s="90" t="s">
        <v>560</v>
      </c>
      <c r="AA198" s="10"/>
      <c r="AC198" s="5"/>
    </row>
    <row r="199" spans="1:29" ht="12.95" customHeight="1">
      <c r="B199" s="90" t="s">
        <v>561</v>
      </c>
      <c r="AA199" s="10"/>
      <c r="AC199" s="5"/>
    </row>
    <row r="200" spans="1:29" ht="5.0999999999999996" customHeight="1">
      <c r="B200" s="90"/>
      <c r="AA200" s="10"/>
      <c r="AC200" s="5"/>
    </row>
    <row r="201" spans="1:29" ht="12.95" customHeight="1">
      <c r="B201" s="5" t="s">
        <v>122</v>
      </c>
      <c r="D201" s="5" t="s">
        <v>565</v>
      </c>
      <c r="Q201" s="183" t="s">
        <v>1</v>
      </c>
      <c r="R201" s="377">
        <f>B206</f>
        <v>12</v>
      </c>
      <c r="S201" s="377"/>
      <c r="T201" s="5" t="s">
        <v>8</v>
      </c>
      <c r="AA201" s="10"/>
      <c r="AC201" s="5"/>
    </row>
    <row r="202" spans="1:29" ht="12.95" customHeight="1">
      <c r="B202" s="5" t="s">
        <v>660</v>
      </c>
      <c r="D202" s="5" t="s">
        <v>108</v>
      </c>
      <c r="Q202" s="183" t="s">
        <v>1</v>
      </c>
      <c r="R202" s="395">
        <f>L206</f>
        <v>0.32300000000000001</v>
      </c>
      <c r="S202" s="395"/>
      <c r="T202" s="5" t="s">
        <v>109</v>
      </c>
      <c r="AA202" s="10"/>
      <c r="AC202" s="5"/>
    </row>
    <row r="203" spans="1:29" ht="12.95" customHeight="1">
      <c r="B203" s="5" t="s">
        <v>661</v>
      </c>
      <c r="D203" s="5" t="s">
        <v>478</v>
      </c>
      <c r="Q203" s="183" t="s">
        <v>1</v>
      </c>
      <c r="R203" s="395">
        <f>Q206</f>
        <v>0.40400000000000003</v>
      </c>
      <c r="S203" s="395"/>
      <c r="T203" s="5" t="s">
        <v>109</v>
      </c>
      <c r="AA203" s="10"/>
      <c r="AC203" s="5"/>
    </row>
    <row r="204" spans="1:29" ht="5.0999999999999996" customHeight="1">
      <c r="B204" s="28"/>
      <c r="AA204" s="10"/>
      <c r="AC204" s="5"/>
    </row>
    <row r="205" spans="1:29" ht="15" customHeight="1">
      <c r="B205" s="234" t="s">
        <v>105</v>
      </c>
      <c r="C205" s="235"/>
      <c r="D205" s="235"/>
      <c r="E205" s="235"/>
      <c r="F205" s="235"/>
      <c r="G205" s="235" t="s">
        <v>662</v>
      </c>
      <c r="H205" s="235"/>
      <c r="I205" s="235"/>
      <c r="J205" s="235"/>
      <c r="K205" s="235"/>
      <c r="L205" s="235" t="s">
        <v>608</v>
      </c>
      <c r="M205" s="235"/>
      <c r="N205" s="235"/>
      <c r="O205" s="235"/>
      <c r="P205" s="235"/>
      <c r="Q205" s="235" t="s">
        <v>663</v>
      </c>
      <c r="R205" s="235"/>
      <c r="S205" s="235"/>
      <c r="T205" s="235"/>
      <c r="U205" s="235"/>
      <c r="V205" s="235" t="s">
        <v>10</v>
      </c>
      <c r="W205" s="235"/>
      <c r="X205" s="235"/>
      <c r="Y205" s="292"/>
      <c r="AA205" s="10"/>
      <c r="AC205" s="5"/>
    </row>
    <row r="206" spans="1:29" ht="15" customHeight="1">
      <c r="B206" s="397">
        <f>K74</f>
        <v>12</v>
      </c>
      <c r="C206" s="359"/>
      <c r="D206" s="359"/>
      <c r="E206" s="359"/>
      <c r="F206" s="359"/>
      <c r="G206" s="359">
        <f>K75</f>
        <v>148.49647320876127</v>
      </c>
      <c r="H206" s="359"/>
      <c r="I206" s="359"/>
      <c r="J206" s="359"/>
      <c r="K206" s="359"/>
      <c r="L206" s="398">
        <f>ROUND(4*B206/G206,3)</f>
        <v>0.32300000000000001</v>
      </c>
      <c r="M206" s="398"/>
      <c r="N206" s="398"/>
      <c r="O206" s="398"/>
      <c r="P206" s="398"/>
      <c r="Q206" s="398">
        <f>ROUND(L206*1.25,3)</f>
        <v>0.40400000000000003</v>
      </c>
      <c r="R206" s="398"/>
      <c r="S206" s="398"/>
      <c r="T206" s="398"/>
      <c r="U206" s="398"/>
      <c r="V206" s="357"/>
      <c r="W206" s="357"/>
      <c r="X206" s="357"/>
      <c r="Y206" s="399"/>
      <c r="AA206" s="10"/>
    </row>
    <row r="207" spans="1:29" ht="12.95" customHeight="1">
      <c r="AA207" s="10"/>
      <c r="AC207" s="5"/>
    </row>
    <row r="208" spans="1:29" ht="12.95" customHeight="1">
      <c r="B208" s="5" t="s">
        <v>110</v>
      </c>
      <c r="AA208" s="10"/>
      <c r="AC208" s="5"/>
    </row>
    <row r="209" spans="2:29" ht="15" customHeight="1">
      <c r="B209" s="234" t="s">
        <v>6</v>
      </c>
      <c r="C209" s="235"/>
      <c r="D209" s="235"/>
      <c r="E209" s="235"/>
      <c r="F209" s="236" t="s">
        <v>111</v>
      </c>
      <c r="G209" s="235"/>
      <c r="H209" s="235"/>
      <c r="I209" s="235"/>
      <c r="J209" s="235"/>
      <c r="K209" s="235" t="s">
        <v>112</v>
      </c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92"/>
      <c r="AA209" s="10"/>
      <c r="AC209" s="5"/>
    </row>
    <row r="210" spans="2:29" ht="15" customHeight="1">
      <c r="B210" s="290"/>
      <c r="C210" s="291"/>
      <c r="D210" s="291"/>
      <c r="E210" s="291"/>
      <c r="F210" s="291"/>
      <c r="G210" s="291"/>
      <c r="H210" s="291"/>
      <c r="I210" s="291"/>
      <c r="J210" s="291"/>
      <c r="K210" s="291" t="s">
        <v>664</v>
      </c>
      <c r="L210" s="291"/>
      <c r="M210" s="291"/>
      <c r="N210" s="291"/>
      <c r="O210" s="291"/>
      <c r="P210" s="291" t="s">
        <v>665</v>
      </c>
      <c r="Q210" s="291"/>
      <c r="R210" s="291"/>
      <c r="S210" s="291"/>
      <c r="T210" s="291"/>
      <c r="U210" s="291" t="s">
        <v>666</v>
      </c>
      <c r="V210" s="291"/>
      <c r="W210" s="291"/>
      <c r="X210" s="291"/>
      <c r="Y210" s="293"/>
      <c r="AA210" s="10"/>
      <c r="AC210" s="5"/>
    </row>
    <row r="211" spans="2:29" ht="15" customHeight="1">
      <c r="B211" s="356" t="s">
        <v>113</v>
      </c>
      <c r="C211" s="357"/>
      <c r="D211" s="357"/>
      <c r="E211" s="357"/>
      <c r="F211" s="357">
        <v>2.8</v>
      </c>
      <c r="G211" s="357"/>
      <c r="H211" s="357"/>
      <c r="I211" s="357"/>
      <c r="J211" s="357"/>
      <c r="K211" s="359">
        <v>0.06</v>
      </c>
      <c r="L211" s="359"/>
      <c r="M211" s="359"/>
      <c r="N211" s="359"/>
      <c r="O211" s="359"/>
      <c r="P211" s="359">
        <v>0.3</v>
      </c>
      <c r="Q211" s="359"/>
      <c r="R211" s="359"/>
      <c r="S211" s="359"/>
      <c r="T211" s="359"/>
      <c r="U211" s="359">
        <v>3</v>
      </c>
      <c r="V211" s="359"/>
      <c r="W211" s="359"/>
      <c r="X211" s="359"/>
      <c r="Y211" s="400"/>
      <c r="AA211" s="10"/>
      <c r="AC211" s="5"/>
    </row>
    <row r="212" spans="2:29" ht="12.95" customHeight="1">
      <c r="AA212" s="10"/>
      <c r="AC212" s="5"/>
    </row>
    <row r="213" spans="2:29" ht="12.95" customHeight="1">
      <c r="B213" s="5" t="s">
        <v>667</v>
      </c>
      <c r="AA213" s="10"/>
      <c r="AC213" s="5"/>
    </row>
    <row r="214" spans="2:29" ht="12.95" customHeight="1">
      <c r="B214" s="90" t="s">
        <v>668</v>
      </c>
      <c r="AA214" s="10"/>
      <c r="AC214" s="5"/>
    </row>
    <row r="215" spans="2:29" ht="12.95" customHeight="1">
      <c r="B215" s="5" t="s">
        <v>150</v>
      </c>
      <c r="F215" s="153" t="s">
        <v>0</v>
      </c>
      <c r="G215" s="240">
        <v>10</v>
      </c>
      <c r="H215" s="240"/>
      <c r="I215" s="5" t="s">
        <v>152</v>
      </c>
      <c r="AA215" s="10"/>
      <c r="AC215" s="5"/>
    </row>
    <row r="216" spans="2:29" ht="12.95" customHeight="1">
      <c r="B216" s="5" t="s">
        <v>151</v>
      </c>
      <c r="F216" s="153" t="s">
        <v>0</v>
      </c>
      <c r="G216" s="240">
        <v>20</v>
      </c>
      <c r="H216" s="240"/>
      <c r="I216" s="5" t="s">
        <v>152</v>
      </c>
      <c r="AA216" s="10"/>
      <c r="AC216" s="5"/>
    </row>
    <row r="217" spans="2:29" ht="12.95" customHeight="1">
      <c r="B217" s="90" t="s">
        <v>669</v>
      </c>
      <c r="AA217" s="10"/>
      <c r="AC217" s="5"/>
    </row>
    <row r="218" spans="2:29" ht="5.0999999999999996" customHeight="1">
      <c r="B218" s="28"/>
      <c r="AA218" s="10"/>
      <c r="AC218" s="5"/>
    </row>
    <row r="219" spans="2:29" ht="15" customHeight="1">
      <c r="B219" s="256" t="s">
        <v>133</v>
      </c>
      <c r="C219" s="258"/>
      <c r="D219" s="258"/>
      <c r="E219" s="258"/>
      <c r="F219" s="258" t="s">
        <v>134</v>
      </c>
      <c r="G219" s="258"/>
      <c r="H219" s="258"/>
      <c r="I219" s="258"/>
      <c r="J219" s="258" t="s">
        <v>670</v>
      </c>
      <c r="K219" s="258"/>
      <c r="L219" s="258"/>
      <c r="M219" s="258"/>
      <c r="N219" s="258"/>
      <c r="O219" s="258"/>
      <c r="P219" s="258"/>
      <c r="Q219" s="258"/>
      <c r="R219" s="258"/>
      <c r="S219" s="258" t="s">
        <v>671</v>
      </c>
      <c r="T219" s="258"/>
      <c r="U219" s="258"/>
      <c r="V219" s="258"/>
      <c r="W219" s="258"/>
      <c r="X219" s="258"/>
      <c r="Y219" s="259"/>
      <c r="AA219" s="10"/>
      <c r="AC219" s="5"/>
    </row>
    <row r="220" spans="2:29" ht="12.95" customHeight="1">
      <c r="B220" s="406" t="s">
        <v>672</v>
      </c>
      <c r="C220" s="406"/>
      <c r="D220" s="406"/>
      <c r="E220" s="407"/>
      <c r="F220" s="195"/>
      <c r="I220" s="196"/>
      <c r="J220" s="240" t="s">
        <v>673</v>
      </c>
      <c r="K220" s="240"/>
      <c r="L220" s="240"/>
      <c r="S220" s="195"/>
      <c r="Y220" s="197"/>
      <c r="AA220" s="10"/>
      <c r="AC220" s="5"/>
    </row>
    <row r="221" spans="2:29" ht="12.95" customHeight="1">
      <c r="B221" s="408"/>
      <c r="C221" s="408"/>
      <c r="D221" s="408"/>
      <c r="E221" s="409"/>
      <c r="F221" s="412" t="s">
        <v>135</v>
      </c>
      <c r="G221" s="240"/>
      <c r="H221" s="240"/>
      <c r="I221" s="413"/>
      <c r="J221" s="240" t="s">
        <v>674</v>
      </c>
      <c r="K221" s="240"/>
      <c r="L221" s="240"/>
      <c r="M221" s="240" t="s">
        <v>140</v>
      </c>
      <c r="N221" s="240">
        <v>6.42</v>
      </c>
      <c r="O221" s="240"/>
      <c r="P221" s="240" t="s">
        <v>142</v>
      </c>
      <c r="Q221" s="404">
        <v>0.48</v>
      </c>
      <c r="R221" s="404"/>
      <c r="S221" s="195"/>
      <c r="T221" s="240" t="s">
        <v>140</v>
      </c>
      <c r="U221" s="240">
        <v>6.42</v>
      </c>
      <c r="V221" s="240"/>
      <c r="W221" s="240" t="s">
        <v>142</v>
      </c>
      <c r="X221" s="404">
        <v>0.48</v>
      </c>
      <c r="Y221" s="405"/>
      <c r="AA221" s="10"/>
      <c r="AC221" s="5"/>
    </row>
    <row r="222" spans="2:29" ht="12.95" customHeight="1">
      <c r="B222" s="408"/>
      <c r="C222" s="408"/>
      <c r="D222" s="408"/>
      <c r="E222" s="409"/>
      <c r="F222" s="414">
        <v>1</v>
      </c>
      <c r="G222" s="369"/>
      <c r="H222" s="369"/>
      <c r="I222" s="415"/>
      <c r="J222" s="240"/>
      <c r="K222" s="240"/>
      <c r="L222" s="240"/>
      <c r="M222" s="240"/>
      <c r="N222" s="240" t="s">
        <v>675</v>
      </c>
      <c r="O222" s="240"/>
      <c r="P222" s="240"/>
      <c r="S222" s="195"/>
      <c r="T222" s="240"/>
      <c r="U222" s="240" t="s">
        <v>675</v>
      </c>
      <c r="V222" s="240"/>
      <c r="W222" s="240"/>
      <c r="Y222" s="197"/>
      <c r="AA222" s="10"/>
      <c r="AC222" s="5"/>
    </row>
    <row r="223" spans="2:29" ht="12.95" customHeight="1">
      <c r="B223" s="410"/>
      <c r="C223" s="410"/>
      <c r="D223" s="410"/>
      <c r="E223" s="411"/>
      <c r="F223" s="198"/>
      <c r="G223" s="199"/>
      <c r="H223" s="199"/>
      <c r="I223" s="200"/>
      <c r="J223" s="240" t="s">
        <v>145</v>
      </c>
      <c r="K223" s="240"/>
      <c r="L223" s="240"/>
      <c r="M223" s="240"/>
      <c r="N223" s="240"/>
      <c r="O223" s="240"/>
      <c r="P223" s="240"/>
      <c r="Q223" s="240"/>
      <c r="R223" s="240"/>
      <c r="S223" s="198"/>
      <c r="T223" s="199"/>
      <c r="U223" s="199"/>
      <c r="V223" s="199"/>
      <c r="W223" s="199"/>
      <c r="X223" s="199"/>
      <c r="Y223" s="201"/>
      <c r="AA223" s="10"/>
      <c r="AC223" s="5"/>
    </row>
    <row r="224" spans="2:29" ht="18" customHeight="1">
      <c r="B224" s="275" t="s">
        <v>676</v>
      </c>
      <c r="C224" s="276"/>
      <c r="D224" s="276"/>
      <c r="E224" s="276"/>
      <c r="F224" s="374">
        <v>1</v>
      </c>
      <c r="G224" s="374"/>
      <c r="H224" s="374"/>
      <c r="I224" s="374"/>
      <c r="J224" s="276" t="s">
        <v>146</v>
      </c>
      <c r="K224" s="276"/>
      <c r="L224" s="276"/>
      <c r="M224" s="276"/>
      <c r="N224" s="276"/>
      <c r="O224" s="276"/>
      <c r="P224" s="276"/>
      <c r="Q224" s="276"/>
      <c r="R224" s="276"/>
      <c r="S224" s="265">
        <v>0.75800000000000001</v>
      </c>
      <c r="T224" s="265"/>
      <c r="U224" s="265"/>
      <c r="V224" s="265"/>
      <c r="W224" s="265"/>
      <c r="X224" s="265"/>
      <c r="Y224" s="401"/>
      <c r="AA224" s="10"/>
      <c r="AC224" s="5"/>
    </row>
    <row r="225" spans="2:29" ht="18" customHeight="1">
      <c r="B225" s="277" t="s">
        <v>677</v>
      </c>
      <c r="C225" s="278"/>
      <c r="D225" s="278"/>
      <c r="E225" s="278"/>
      <c r="F225" s="375">
        <v>1</v>
      </c>
      <c r="G225" s="375"/>
      <c r="H225" s="375"/>
      <c r="I225" s="375"/>
      <c r="J225" s="278" t="s">
        <v>147</v>
      </c>
      <c r="K225" s="278"/>
      <c r="L225" s="278"/>
      <c r="M225" s="278"/>
      <c r="N225" s="278"/>
      <c r="O225" s="278"/>
      <c r="P225" s="278"/>
      <c r="Q225" s="278"/>
      <c r="R225" s="278"/>
      <c r="S225" s="402">
        <v>0.56100000000000005</v>
      </c>
      <c r="T225" s="402"/>
      <c r="U225" s="402"/>
      <c r="V225" s="402"/>
      <c r="W225" s="402"/>
      <c r="X225" s="402"/>
      <c r="Y225" s="403"/>
      <c r="AA225" s="10"/>
      <c r="AC225" s="5"/>
    </row>
    <row r="226" spans="2:29" ht="12.95" customHeight="1">
      <c r="AA226" s="10"/>
      <c r="AC226" s="5"/>
    </row>
    <row r="227" spans="2:29" ht="12.95" customHeight="1">
      <c r="B227" s="5" t="s">
        <v>414</v>
      </c>
      <c r="AA227" s="10"/>
      <c r="AC227" s="5"/>
    </row>
    <row r="228" spans="2:29" ht="12.95" customHeight="1">
      <c r="AA228" s="10"/>
      <c r="AC228" s="5"/>
    </row>
    <row r="229" spans="2:29" ht="12.95" customHeight="1">
      <c r="AA229" s="10"/>
      <c r="AC229" s="5"/>
    </row>
    <row r="230" spans="2:29" ht="12.95" customHeight="1">
      <c r="AA230" s="10"/>
      <c r="AC230" s="5"/>
    </row>
    <row r="231" spans="2:29" ht="12.95" customHeight="1">
      <c r="AA231" s="10"/>
      <c r="AC231" s="5"/>
    </row>
    <row r="232" spans="2:29" ht="12.95" customHeight="1">
      <c r="AA232" s="10"/>
      <c r="AC232" s="5"/>
    </row>
    <row r="233" spans="2:29" ht="12.95" customHeight="1">
      <c r="AA233" s="10"/>
      <c r="AC233" s="5"/>
    </row>
    <row r="234" spans="2:29" ht="12.95" customHeight="1">
      <c r="AA234" s="10"/>
      <c r="AC234" s="5"/>
    </row>
    <row r="235" spans="2:29" ht="12.95" customHeight="1">
      <c r="AA235" s="10"/>
      <c r="AC235" s="5"/>
    </row>
    <row r="236" spans="2:29" ht="12.95" customHeight="1">
      <c r="AA236" s="10"/>
      <c r="AC236" s="5"/>
    </row>
    <row r="237" spans="2:29" ht="12.95" customHeight="1">
      <c r="AA237" s="10"/>
      <c r="AC237" s="5"/>
    </row>
    <row r="238" spans="2:29" ht="12.95" customHeight="1">
      <c r="AA238" s="10"/>
      <c r="AC238" s="5"/>
    </row>
    <row r="239" spans="2:29" ht="12.95" customHeight="1">
      <c r="AA239" s="10"/>
      <c r="AC239" s="5"/>
    </row>
    <row r="240" spans="2:29" ht="12.95" customHeight="1">
      <c r="AA240" s="10"/>
      <c r="AC240" s="5"/>
    </row>
    <row r="241" spans="2:32" ht="12.95" customHeight="1">
      <c r="AA241" s="10"/>
      <c r="AC241" s="5"/>
    </row>
    <row r="242" spans="2:32" ht="12.95" customHeight="1">
      <c r="AA242" s="10"/>
      <c r="AC242" s="5"/>
    </row>
    <row r="243" spans="2:32" ht="12.95" customHeight="1">
      <c r="AA243" s="10"/>
      <c r="AC243" s="5"/>
    </row>
    <row r="244" spans="2:32" ht="12.95" customHeight="1">
      <c r="AA244" s="10"/>
      <c r="AC244" s="5"/>
    </row>
    <row r="245" spans="2:32" ht="12.95" customHeight="1">
      <c r="AA245" s="10"/>
      <c r="AC245" s="5"/>
    </row>
    <row r="246" spans="2:32" ht="12.95" customHeight="1">
      <c r="AA246" s="10"/>
      <c r="AC246" s="5"/>
    </row>
    <row r="247" spans="2:32" ht="12.95" customHeight="1">
      <c r="B247" s="5" t="s">
        <v>678</v>
      </c>
      <c r="AA247" s="10"/>
      <c r="AC247" s="5"/>
    </row>
    <row r="248" spans="2:32" ht="12.95" customHeight="1">
      <c r="B248" s="5" t="s">
        <v>679</v>
      </c>
      <c r="D248" s="5" t="s">
        <v>179</v>
      </c>
      <c r="Q248" s="183" t="s">
        <v>1</v>
      </c>
      <c r="R248" s="366">
        <f>R136</f>
        <v>6.2699999999999992E-2</v>
      </c>
      <c r="S248" s="366"/>
      <c r="T248" s="5" t="s">
        <v>12</v>
      </c>
      <c r="AA248" s="10"/>
      <c r="AB248" s="5" t="s">
        <v>672</v>
      </c>
      <c r="AC248" s="5">
        <f>S224</f>
        <v>0.75800000000000001</v>
      </c>
    </row>
    <row r="249" spans="2:32" ht="12.95" customHeight="1">
      <c r="B249" s="5" t="s">
        <v>680</v>
      </c>
      <c r="D249" s="5" t="s">
        <v>180</v>
      </c>
      <c r="Q249" s="183" t="s">
        <v>1</v>
      </c>
      <c r="R249" s="366">
        <f>R140</f>
        <v>0.154</v>
      </c>
      <c r="S249" s="366"/>
      <c r="T249" s="5" t="s">
        <v>12</v>
      </c>
      <c r="AA249" s="10"/>
      <c r="AB249" s="5" t="s">
        <v>672</v>
      </c>
      <c r="AC249" s="5">
        <f>S225</f>
        <v>0.56100000000000005</v>
      </c>
    </row>
    <row r="250" spans="2:32" ht="12.95" customHeight="1">
      <c r="B250" s="5" t="s">
        <v>661</v>
      </c>
      <c r="D250" s="5" t="s">
        <v>478</v>
      </c>
      <c r="Q250" s="183" t="s">
        <v>1</v>
      </c>
      <c r="R250" s="395">
        <f>R203</f>
        <v>0.40400000000000003</v>
      </c>
      <c r="S250" s="395"/>
      <c r="T250" s="5" t="s">
        <v>109</v>
      </c>
      <c r="AA250" s="10"/>
      <c r="AC250" s="5"/>
    </row>
    <row r="251" spans="2:32" ht="5.0999999999999996" customHeight="1">
      <c r="AA251" s="10"/>
      <c r="AC251" s="5"/>
    </row>
    <row r="252" spans="2:32" ht="15" customHeight="1">
      <c r="B252" s="234" t="s">
        <v>116</v>
      </c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 t="s">
        <v>681</v>
      </c>
      <c r="S252" s="235"/>
      <c r="T252" s="235"/>
      <c r="U252" s="235"/>
      <c r="V252" s="235"/>
      <c r="W252" s="235"/>
      <c r="X252" s="235"/>
      <c r="Y252" s="292"/>
      <c r="AA252" s="10"/>
      <c r="AC252" s="5"/>
    </row>
    <row r="253" spans="2:32" ht="15" customHeight="1">
      <c r="B253" s="290"/>
      <c r="C253" s="291"/>
      <c r="D253" s="291"/>
      <c r="E253" s="291"/>
      <c r="F253" s="291"/>
      <c r="G253" s="291"/>
      <c r="H253" s="291"/>
      <c r="I253" s="291"/>
      <c r="J253" s="291"/>
      <c r="K253" s="291"/>
      <c r="L253" s="291"/>
      <c r="M253" s="291"/>
      <c r="N253" s="291"/>
      <c r="O253" s="291"/>
      <c r="P253" s="291"/>
      <c r="Q253" s="291"/>
      <c r="R253" s="291" t="s">
        <v>14</v>
      </c>
      <c r="S253" s="291"/>
      <c r="T253" s="291"/>
      <c r="U253" s="291"/>
      <c r="V253" s="291" t="s">
        <v>15</v>
      </c>
      <c r="W253" s="291"/>
      <c r="X253" s="291"/>
      <c r="Y253" s="293"/>
      <c r="AA253" s="10"/>
      <c r="AB253" s="153" t="s">
        <v>117</v>
      </c>
      <c r="AC253" s="5" t="s">
        <v>120</v>
      </c>
      <c r="AD253" s="153" t="s">
        <v>0</v>
      </c>
      <c r="AE253" s="153">
        <f>IF(AE254&lt;AE255,1,IF(AE254&lt;AE256,2,3))</f>
        <v>3</v>
      </c>
      <c r="AF253" s="5" t="s">
        <v>682</v>
      </c>
    </row>
    <row r="254" spans="2:32" ht="12.95" customHeight="1">
      <c r="B254" s="344" t="s">
        <v>683</v>
      </c>
      <c r="C254" s="345"/>
      <c r="D254" s="345"/>
      <c r="E254" s="345"/>
      <c r="F254" s="345"/>
      <c r="G254" s="416" t="s">
        <v>684</v>
      </c>
      <c r="H254" s="416"/>
      <c r="I254" s="416"/>
      <c r="J254" s="416"/>
      <c r="K254" s="416"/>
      <c r="L254" s="416"/>
      <c r="M254" s="416"/>
      <c r="N254" s="416"/>
      <c r="O254" s="416"/>
      <c r="P254" s="416"/>
      <c r="Q254" s="416"/>
      <c r="R254" s="345" t="str">
        <f>IF(AE253=1,ROUND((1+30*R250)*R248*9.81*AC248*(R250/(2*PI())),3),"")</f>
        <v/>
      </c>
      <c r="S254" s="345"/>
      <c r="T254" s="345"/>
      <c r="U254" s="345"/>
      <c r="V254" s="345" t="str">
        <f>IF(AE253=1,ROUND((1+30*R250)*R249*9.81*AC249*(R250/(2*PI())),3),"")</f>
        <v/>
      </c>
      <c r="W254" s="345"/>
      <c r="X254" s="345"/>
      <c r="Y254" s="373"/>
      <c r="AA254" s="10"/>
      <c r="AC254" s="5" t="s">
        <v>119</v>
      </c>
      <c r="AD254" s="153" t="s">
        <v>0</v>
      </c>
      <c r="AE254" s="202">
        <f>R250</f>
        <v>0.40400000000000003</v>
      </c>
      <c r="AF254" s="158"/>
    </row>
    <row r="255" spans="2:32" ht="12.95" customHeight="1">
      <c r="B255" s="275" t="s">
        <v>685</v>
      </c>
      <c r="C255" s="276"/>
      <c r="D255" s="276"/>
      <c r="E255" s="276"/>
      <c r="F255" s="276"/>
      <c r="G255" s="417" t="s">
        <v>686</v>
      </c>
      <c r="H255" s="417"/>
      <c r="I255" s="417"/>
      <c r="J255" s="417"/>
      <c r="K255" s="417"/>
      <c r="L255" s="417"/>
      <c r="M255" s="417"/>
      <c r="N255" s="417"/>
      <c r="O255" s="417"/>
      <c r="P255" s="417"/>
      <c r="Q255" s="417"/>
      <c r="R255" s="276" t="str">
        <f>IF(AE253=2,ROUND(2.8*R248*9.81*AC248*(R250/(2*PI())),4),"")</f>
        <v/>
      </c>
      <c r="S255" s="276"/>
      <c r="T255" s="276"/>
      <c r="U255" s="276"/>
      <c r="V255" s="276" t="str">
        <f>IF(AE253=2,ROUND(2.8*R249*9.81*AC249*(R250/(2*PI())),4),"")</f>
        <v/>
      </c>
      <c r="W255" s="276"/>
      <c r="X255" s="276"/>
      <c r="Y255" s="282"/>
      <c r="AA255" s="10"/>
      <c r="AC255" s="5" t="s">
        <v>687</v>
      </c>
      <c r="AD255" s="153" t="s">
        <v>0</v>
      </c>
      <c r="AE255" s="202">
        <v>0.06</v>
      </c>
      <c r="AF255" s="158"/>
    </row>
    <row r="256" spans="2:32" ht="12.95" customHeight="1">
      <c r="B256" s="277" t="s">
        <v>688</v>
      </c>
      <c r="C256" s="278"/>
      <c r="D256" s="278"/>
      <c r="E256" s="278"/>
      <c r="F256" s="278"/>
      <c r="G256" s="418" t="s">
        <v>689</v>
      </c>
      <c r="H256" s="418"/>
      <c r="I256" s="418"/>
      <c r="J256" s="418"/>
      <c r="K256" s="418"/>
      <c r="L256" s="418"/>
      <c r="M256" s="418"/>
      <c r="N256" s="418"/>
      <c r="O256" s="418"/>
      <c r="P256" s="418"/>
      <c r="Q256" s="418"/>
      <c r="R256" s="278">
        <f>IF(AE253=3,ROUND(0.84/R250*R248*9.81*AC248*(R250/(2*PI())),3),"")</f>
        <v>6.2E-2</v>
      </c>
      <c r="S256" s="278"/>
      <c r="T256" s="278"/>
      <c r="U256" s="278"/>
      <c r="V256" s="278">
        <f>IF(AE253=3,ROUND(0.84/R250*R249*9.81*AC249*(R250/(2*PI())),3),"")</f>
        <v>0.113</v>
      </c>
      <c r="W256" s="278"/>
      <c r="X256" s="278"/>
      <c r="Y256" s="283"/>
      <c r="AA256" s="10"/>
      <c r="AC256" s="5" t="s">
        <v>690</v>
      </c>
      <c r="AD256" s="153" t="s">
        <v>0</v>
      </c>
      <c r="AE256" s="202">
        <v>0.3</v>
      </c>
      <c r="AF256" s="158"/>
    </row>
    <row r="257" spans="1:77" ht="9.9499999999999993" customHeight="1">
      <c r="AA257" s="10"/>
      <c r="AC257" s="5"/>
    </row>
    <row r="258" spans="1:77" ht="12.95" customHeight="1">
      <c r="B258" s="5" t="s">
        <v>244</v>
      </c>
      <c r="AA258" s="10"/>
      <c r="AC258" s="5"/>
    </row>
    <row r="259" spans="1:77" ht="12.95" customHeight="1">
      <c r="B259" s="90" t="s">
        <v>516</v>
      </c>
      <c r="AA259" s="10"/>
      <c r="AC259" s="5"/>
    </row>
    <row r="260" spans="1:77" s="18" customFormat="1" ht="12.95" customHeight="1">
      <c r="A260" s="162"/>
      <c r="B260" s="90" t="s">
        <v>517</v>
      </c>
      <c r="C260" s="162"/>
      <c r="D260" s="162"/>
      <c r="E260" s="162"/>
      <c r="F260" s="162"/>
      <c r="G260" s="162"/>
      <c r="H260" s="162"/>
      <c r="I260" s="162"/>
      <c r="J260" s="162"/>
      <c r="K260" s="17"/>
      <c r="L260" s="17"/>
      <c r="M260" s="17"/>
      <c r="N260" s="162"/>
      <c r="O260" s="168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P260" s="17"/>
      <c r="AQ260" s="17"/>
      <c r="AR260" s="17"/>
      <c r="AS260" s="17"/>
      <c r="AT260" s="162"/>
      <c r="AU260" s="144"/>
      <c r="AV260" s="162"/>
      <c r="AW260" s="162"/>
      <c r="AX260" s="162"/>
      <c r="AY260" s="162"/>
      <c r="AZ260" s="162"/>
      <c r="BA260" s="162"/>
      <c r="BB260" s="162"/>
      <c r="BC260" s="162"/>
      <c r="BD260" s="162"/>
      <c r="BE260" s="162"/>
      <c r="BF260" s="144"/>
      <c r="BG260" s="203"/>
      <c r="BH260" s="162"/>
      <c r="BI260" s="162"/>
      <c r="BJ260" s="162"/>
      <c r="BK260" s="162"/>
      <c r="BL260" s="162"/>
      <c r="BM260" s="162"/>
      <c r="BN260" s="162"/>
      <c r="BO260" s="162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</row>
    <row r="261" spans="1:77" s="18" customFormat="1" ht="12.95" customHeight="1">
      <c r="A261" s="162"/>
      <c r="B261" s="165" t="s">
        <v>245</v>
      </c>
      <c r="C261" s="162"/>
      <c r="D261" s="162"/>
      <c r="E261" s="162"/>
      <c r="F261" s="162"/>
      <c r="G261" s="162"/>
      <c r="H261" s="162"/>
      <c r="I261" s="162"/>
      <c r="J261" s="162"/>
      <c r="K261" s="17"/>
      <c r="L261" s="17"/>
      <c r="M261" s="17"/>
      <c r="N261" s="162"/>
      <c r="O261" s="168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P261" s="17"/>
      <c r="AQ261" s="17"/>
      <c r="AR261" s="17"/>
      <c r="AS261" s="17"/>
      <c r="AT261" s="162"/>
      <c r="AU261" s="144"/>
      <c r="AV261" s="162"/>
      <c r="AW261" s="162"/>
      <c r="AX261" s="162"/>
      <c r="AY261" s="162"/>
      <c r="AZ261" s="162"/>
      <c r="BA261" s="162"/>
      <c r="BB261" s="162"/>
      <c r="BC261" s="162"/>
      <c r="BD261" s="162"/>
      <c r="BE261" s="162"/>
      <c r="BF261" s="144"/>
      <c r="BG261" s="203"/>
      <c r="BH261" s="162"/>
      <c r="BI261" s="162"/>
      <c r="BJ261" s="162"/>
      <c r="BK261" s="162"/>
      <c r="BL261" s="162"/>
      <c r="BM261" s="162"/>
      <c r="BN261" s="162"/>
      <c r="BO261" s="162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</row>
    <row r="262" spans="1:77" s="18" customFormat="1" ht="5.0999999999999996" customHeight="1">
      <c r="A262" s="162"/>
      <c r="B262" s="90"/>
      <c r="C262" s="162"/>
      <c r="D262" s="162"/>
      <c r="E262" s="162"/>
      <c r="F262" s="162"/>
      <c r="G262" s="162"/>
      <c r="H262" s="162"/>
      <c r="I262" s="162"/>
      <c r="J262" s="162"/>
      <c r="K262" s="17"/>
      <c r="L262" s="17"/>
      <c r="M262" s="17"/>
      <c r="N262" s="162"/>
      <c r="O262" s="168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P262" s="17"/>
      <c r="AQ262" s="17"/>
      <c r="AR262" s="17"/>
      <c r="AS262" s="17"/>
      <c r="AT262" s="162"/>
      <c r="AU262" s="144"/>
      <c r="AV262" s="162"/>
      <c r="AW262" s="162"/>
      <c r="AX262" s="162"/>
      <c r="AY262" s="162"/>
      <c r="AZ262" s="162"/>
      <c r="BA262" s="162"/>
      <c r="BB262" s="162"/>
      <c r="BC262" s="162"/>
      <c r="BD262" s="162"/>
      <c r="BE262" s="162"/>
      <c r="BF262" s="144"/>
      <c r="BG262" s="203"/>
      <c r="BH262" s="162"/>
      <c r="BI262" s="162"/>
      <c r="BJ262" s="162"/>
      <c r="BK262" s="162"/>
      <c r="BL262" s="162"/>
      <c r="BM262" s="162"/>
      <c r="BN262" s="162"/>
      <c r="BO262" s="162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</row>
    <row r="263" spans="1:77" s="18" customFormat="1" ht="12.95" customHeight="1">
      <c r="B263" s="165" t="s">
        <v>691</v>
      </c>
      <c r="K263" s="17"/>
      <c r="L263" s="17"/>
      <c r="M263" s="17"/>
      <c r="O263" s="81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9"/>
      <c r="AC263" s="81"/>
      <c r="AD263" s="17"/>
      <c r="AE263" s="17"/>
      <c r="AF263" s="17"/>
      <c r="AG263" s="17"/>
      <c r="AH263" s="17"/>
      <c r="AI263" s="17"/>
      <c r="AJ263" s="17"/>
      <c r="AK263" s="17"/>
      <c r="AL263" s="17"/>
      <c r="AO263" s="17"/>
      <c r="AP263" s="17"/>
      <c r="AQ263" s="17"/>
      <c r="AR263" s="17"/>
      <c r="AS263" s="17"/>
      <c r="AT263" s="162"/>
      <c r="AU263" s="144"/>
      <c r="AV263" s="162"/>
      <c r="AW263" s="162"/>
      <c r="AX263" s="162"/>
      <c r="AY263" s="162"/>
      <c r="AZ263" s="162"/>
      <c r="BA263" s="162"/>
      <c r="BB263" s="162"/>
      <c r="BC263" s="162"/>
      <c r="BD263" s="162"/>
      <c r="BE263" s="162"/>
      <c r="BF263" s="144"/>
      <c r="BG263" s="203"/>
      <c r="BH263" s="162"/>
      <c r="BI263" s="162"/>
      <c r="BJ263" s="162"/>
      <c r="BK263" s="162"/>
      <c r="BL263" s="162"/>
      <c r="BM263" s="162"/>
      <c r="BN263" s="162"/>
      <c r="BO263" s="162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</row>
    <row r="264" spans="1:77" s="18" customFormat="1" ht="12.95" customHeight="1">
      <c r="B264" s="165" t="s">
        <v>692</v>
      </c>
      <c r="C264" s="165"/>
      <c r="D264" s="419">
        <v>2</v>
      </c>
      <c r="E264" s="419"/>
      <c r="F264" s="156" t="s">
        <v>225</v>
      </c>
      <c r="G264" s="156" t="s">
        <v>226</v>
      </c>
      <c r="H264" s="156" t="s">
        <v>98</v>
      </c>
      <c r="I264" s="381">
        <f>MAX(V254:Y256)</f>
        <v>0.113</v>
      </c>
      <c r="J264" s="381"/>
      <c r="K264" s="156" t="s">
        <v>98</v>
      </c>
      <c r="L264" s="420">
        <f>R250</f>
        <v>0.40400000000000003</v>
      </c>
      <c r="M264" s="420"/>
      <c r="N264" s="156" t="s">
        <v>98</v>
      </c>
      <c r="O264" s="381" t="s">
        <v>519</v>
      </c>
      <c r="P264" s="381"/>
      <c r="Q264" s="156" t="s">
        <v>227</v>
      </c>
      <c r="R264" s="156" t="s">
        <v>98</v>
      </c>
      <c r="S264" s="420">
        <f>$V$5</f>
        <v>4.5</v>
      </c>
      <c r="T264" s="420"/>
      <c r="U264" s="156" t="s">
        <v>228</v>
      </c>
      <c r="V264" s="162">
        <v>2</v>
      </c>
      <c r="W264" s="156" t="s">
        <v>98</v>
      </c>
      <c r="X264" s="420">
        <f>$R$201</f>
        <v>12</v>
      </c>
      <c r="Y264" s="420"/>
      <c r="Z264" s="16" t="s">
        <v>97</v>
      </c>
      <c r="AA264" s="16"/>
      <c r="AB264" s="16"/>
      <c r="AC264" s="16"/>
      <c r="AD264" s="16"/>
      <c r="AE264" s="16"/>
      <c r="AF264" s="17"/>
      <c r="AG264" s="16"/>
      <c r="AH264" s="16"/>
      <c r="AI264" s="16"/>
      <c r="AJ264" s="16"/>
      <c r="AK264" s="16"/>
      <c r="AL264" s="16"/>
      <c r="AM264" s="16"/>
      <c r="AN264" s="16"/>
      <c r="AO264" s="16"/>
      <c r="AP264" s="17"/>
      <c r="AQ264" s="17"/>
      <c r="AR264" s="17"/>
      <c r="AS264" s="17"/>
      <c r="AT264" s="162"/>
      <c r="AU264" s="144"/>
      <c r="AV264" s="162"/>
      <c r="AW264" s="162"/>
      <c r="AX264" s="162"/>
      <c r="AY264" s="162"/>
      <c r="AZ264" s="162"/>
      <c r="BA264" s="162"/>
      <c r="BB264" s="162"/>
      <c r="BC264" s="162"/>
      <c r="BD264" s="162"/>
      <c r="BE264" s="162"/>
      <c r="BF264" s="144"/>
      <c r="BG264" s="203"/>
      <c r="BH264" s="162"/>
      <c r="BI264" s="162"/>
      <c r="BJ264" s="162"/>
      <c r="BK264" s="162"/>
      <c r="BL264" s="162"/>
      <c r="BM264" s="162"/>
      <c r="BN264" s="162"/>
      <c r="BO264" s="162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</row>
    <row r="265" spans="1:77" s="18" customFormat="1" ht="12.95" customHeight="1">
      <c r="C265" s="156" t="s">
        <v>229</v>
      </c>
      <c r="D265" s="421">
        <f>D264/(PI()^2)*I264*L264*COS(PI()*S264/(V264*X264))</f>
        <v>7.6919497881082557E-3</v>
      </c>
      <c r="E265" s="421"/>
      <c r="F265" s="421"/>
      <c r="G265" s="421"/>
      <c r="H265" s="144" t="s">
        <v>210</v>
      </c>
      <c r="J265" s="144"/>
      <c r="K265" s="17"/>
      <c r="L265" s="17"/>
      <c r="M265" s="17"/>
      <c r="O265" s="81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6"/>
      <c r="AC265" s="16"/>
      <c r="AD265" s="16"/>
      <c r="AE265" s="83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7"/>
      <c r="AQ265" s="17"/>
      <c r="AR265" s="17"/>
      <c r="AS265" s="17"/>
      <c r="AT265" s="162"/>
      <c r="AU265" s="144"/>
      <c r="AV265" s="162"/>
      <c r="AW265" s="162"/>
      <c r="AX265" s="162"/>
      <c r="AY265" s="162"/>
      <c r="AZ265" s="162"/>
      <c r="BA265" s="162"/>
      <c r="BB265" s="162"/>
      <c r="BC265" s="162"/>
      <c r="BD265" s="162"/>
      <c r="BE265" s="162"/>
      <c r="BF265" s="144"/>
      <c r="BG265" s="203"/>
      <c r="BH265" s="162"/>
      <c r="BI265" s="162"/>
      <c r="BJ265" s="162"/>
      <c r="BK265" s="162"/>
      <c r="BL265" s="162"/>
      <c r="BM265" s="162"/>
      <c r="BN265" s="162"/>
      <c r="BO265" s="162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</row>
    <row r="266" spans="1:77" ht="8.1" customHeight="1">
      <c r="AB266" s="19"/>
      <c r="AC266" s="170"/>
      <c r="AD266" s="17"/>
      <c r="AE266" s="17"/>
      <c r="AF266" s="17"/>
      <c r="AG266" s="17"/>
      <c r="AH266" s="16"/>
      <c r="AI266" s="17"/>
      <c r="AJ266" s="17"/>
      <c r="AK266" s="16"/>
      <c r="AL266" s="16"/>
      <c r="AM266" s="16"/>
      <c r="AN266" s="16"/>
      <c r="AO266" s="16"/>
    </row>
    <row r="267" spans="1:77" s="18" customFormat="1" ht="12.95" customHeight="1">
      <c r="A267" s="162"/>
      <c r="B267" s="165" t="s">
        <v>246</v>
      </c>
      <c r="C267" s="162"/>
      <c r="D267" s="162"/>
      <c r="E267" s="162"/>
      <c r="F267" s="162"/>
      <c r="G267" s="162"/>
      <c r="H267" s="162"/>
      <c r="I267" s="162"/>
      <c r="J267" s="162"/>
      <c r="K267" s="17"/>
      <c r="L267" s="17"/>
      <c r="M267" s="17"/>
      <c r="N267" s="162"/>
      <c r="O267" s="168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6"/>
      <c r="AC267" s="16"/>
      <c r="AD267" s="16"/>
      <c r="AE267" s="84"/>
      <c r="AF267" s="16"/>
      <c r="AG267" s="16"/>
      <c r="AH267" s="16"/>
      <c r="AI267" s="16"/>
      <c r="AJ267" s="16"/>
      <c r="AK267" s="17"/>
      <c r="AL267" s="17"/>
      <c r="AN267" s="19"/>
      <c r="AO267" s="17"/>
      <c r="AP267" s="17"/>
      <c r="AQ267" s="17"/>
      <c r="AR267" s="17"/>
      <c r="AS267" s="17"/>
      <c r="AT267" s="162"/>
      <c r="AU267" s="144"/>
      <c r="AV267" s="162"/>
      <c r="AW267" s="162"/>
      <c r="AX267" s="162"/>
      <c r="AY267" s="162"/>
      <c r="AZ267" s="162"/>
      <c r="BA267" s="162"/>
      <c r="BB267" s="162"/>
      <c r="BC267" s="162"/>
      <c r="BD267" s="162"/>
      <c r="BE267" s="162"/>
      <c r="BF267" s="144"/>
      <c r="BG267" s="203"/>
      <c r="BH267" s="162"/>
      <c r="BI267" s="162"/>
      <c r="BJ267" s="162"/>
      <c r="BK267" s="162"/>
      <c r="BL267" s="162"/>
      <c r="BM267" s="162"/>
      <c r="BN267" s="162"/>
      <c r="BO267" s="162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</row>
    <row r="268" spans="1:77" ht="12.95" customHeight="1">
      <c r="B268" s="162" t="s">
        <v>693</v>
      </c>
      <c r="C268" s="162" t="s">
        <v>207</v>
      </c>
      <c r="D268" s="16" t="s">
        <v>694</v>
      </c>
      <c r="E268" s="156" t="s">
        <v>98</v>
      </c>
      <c r="F268" s="421" t="s">
        <v>695</v>
      </c>
      <c r="G268" s="421"/>
      <c r="H268" s="162" t="s">
        <v>207</v>
      </c>
      <c r="I268" s="420">
        <f>R250</f>
        <v>0.40400000000000003</v>
      </c>
      <c r="J268" s="420"/>
      <c r="K268" s="156" t="s">
        <v>98</v>
      </c>
      <c r="L268" s="420">
        <f>P88</f>
        <v>118.81188118811882</v>
      </c>
      <c r="M268" s="420"/>
      <c r="N268" s="420"/>
      <c r="O268" s="156" t="s">
        <v>207</v>
      </c>
      <c r="P268" s="384">
        <f>I268*L268</f>
        <v>48.000000000000007</v>
      </c>
      <c r="Q268" s="384"/>
      <c r="R268" s="384"/>
      <c r="S268" s="384"/>
      <c r="T268" s="16" t="s">
        <v>210</v>
      </c>
      <c r="U268" s="19"/>
      <c r="V268" s="19"/>
      <c r="AA268" s="10"/>
      <c r="AB268" s="16"/>
      <c r="AC268" s="16"/>
      <c r="AD268" s="16"/>
      <c r="AE268" s="84"/>
      <c r="AF268" s="16"/>
      <c r="AG268" s="16"/>
      <c r="AH268" s="16"/>
      <c r="AI268" s="16"/>
      <c r="AJ268" s="16"/>
      <c r="AK268" s="17"/>
      <c r="AL268" s="16"/>
      <c r="AM268" s="16"/>
      <c r="AN268" s="19"/>
      <c r="AO268" s="16"/>
    </row>
    <row r="269" spans="1:77" s="19" customFormat="1" ht="12.95" customHeight="1">
      <c r="B269" s="156" t="s">
        <v>696</v>
      </c>
      <c r="C269" s="162" t="s">
        <v>207</v>
      </c>
      <c r="D269" s="16" t="s">
        <v>694</v>
      </c>
      <c r="E269" s="156" t="s">
        <v>98</v>
      </c>
      <c r="F269" s="421" t="s">
        <v>697</v>
      </c>
      <c r="G269" s="421"/>
      <c r="H269" s="162" t="s">
        <v>207</v>
      </c>
      <c r="I269" s="420">
        <f>R250</f>
        <v>0.40400000000000003</v>
      </c>
      <c r="J269" s="420"/>
      <c r="K269" s="156" t="s">
        <v>98</v>
      </c>
      <c r="L269" s="420">
        <f>IF(MAX(O25:X40)&gt;=760,MAX(O25:X40),760)</f>
        <v>760</v>
      </c>
      <c r="M269" s="420"/>
      <c r="N269" s="420"/>
      <c r="O269" s="156" t="s">
        <v>207</v>
      </c>
      <c r="P269" s="384">
        <f>I269*L269</f>
        <v>307.04000000000002</v>
      </c>
      <c r="Q269" s="384"/>
      <c r="R269" s="384"/>
      <c r="S269" s="384"/>
      <c r="T269" s="16" t="s">
        <v>210</v>
      </c>
      <c r="AA269" s="16"/>
      <c r="AB269" s="16"/>
      <c r="AC269" s="16"/>
      <c r="AD269" s="16"/>
      <c r="AE269" s="85"/>
      <c r="AF269" s="16"/>
      <c r="AG269" s="16"/>
      <c r="AH269" s="16"/>
      <c r="AI269" s="16"/>
      <c r="AJ269" s="16"/>
      <c r="AK269" s="17"/>
      <c r="AL269" s="16"/>
      <c r="AM269" s="16"/>
      <c r="AO269" s="16"/>
      <c r="BG269" s="169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</row>
    <row r="270" spans="1:77" s="19" customFormat="1" ht="5.0999999999999996" customHeight="1">
      <c r="B270" s="15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7"/>
      <c r="AL270" s="16"/>
      <c r="AM270" s="16"/>
      <c r="AO270" s="16"/>
      <c r="BG270" s="169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</row>
    <row r="271" spans="1:77" s="16" customFormat="1" ht="12.95" customHeight="1">
      <c r="B271" s="156" t="s">
        <v>232</v>
      </c>
      <c r="C271" s="156" t="s">
        <v>207</v>
      </c>
      <c r="D271" s="156" t="s">
        <v>233</v>
      </c>
      <c r="E271" s="156">
        <v>2</v>
      </c>
      <c r="F271" s="156" t="s">
        <v>98</v>
      </c>
      <c r="G271" s="156" t="s">
        <v>230</v>
      </c>
      <c r="H271" s="156" t="s">
        <v>98</v>
      </c>
      <c r="I271" s="156" t="s">
        <v>231</v>
      </c>
      <c r="J271" s="156" t="s">
        <v>234</v>
      </c>
      <c r="K271" s="50" t="s">
        <v>235</v>
      </c>
      <c r="L271" s="156" t="s">
        <v>233</v>
      </c>
      <c r="M271" s="156" t="s">
        <v>230</v>
      </c>
      <c r="N271" s="156" t="s">
        <v>236</v>
      </c>
      <c r="O271" s="156" t="s">
        <v>231</v>
      </c>
      <c r="P271" s="156" t="s">
        <v>234</v>
      </c>
      <c r="Q271" s="156" t="s">
        <v>207</v>
      </c>
      <c r="R271" s="381">
        <f>(2*P268*P269)/(P268+P269)</f>
        <v>83.021180712032461</v>
      </c>
      <c r="S271" s="381"/>
      <c r="T271" s="381"/>
      <c r="U271" s="381"/>
      <c r="V271" s="165" t="s">
        <v>210</v>
      </c>
      <c r="AJ271" s="156"/>
      <c r="AN271" s="19"/>
    </row>
    <row r="272" spans="1:77" s="16" customFormat="1" ht="12.95" customHeight="1">
      <c r="B272" s="156" t="s">
        <v>237</v>
      </c>
      <c r="C272" s="156" t="s">
        <v>207</v>
      </c>
      <c r="D272" s="381" t="s">
        <v>238</v>
      </c>
      <c r="E272" s="381"/>
      <c r="F272" s="156" t="s">
        <v>98</v>
      </c>
      <c r="G272" s="156" t="s">
        <v>232</v>
      </c>
      <c r="H272" s="156" t="s">
        <v>207</v>
      </c>
      <c r="I272" s="381">
        <f>SQRT(2)</f>
        <v>1.4142135623730951</v>
      </c>
      <c r="J272" s="381"/>
      <c r="K272" s="381"/>
      <c r="L272" s="156" t="s">
        <v>98</v>
      </c>
      <c r="M272" s="381">
        <f>R271</f>
        <v>83.021180712032461</v>
      </c>
      <c r="N272" s="381"/>
      <c r="O272" s="381"/>
      <c r="P272" s="381"/>
      <c r="Q272" s="156" t="s">
        <v>207</v>
      </c>
      <c r="R272" s="381">
        <f>I272*M272</f>
        <v>117.40967972718393</v>
      </c>
      <c r="S272" s="381"/>
      <c r="T272" s="381"/>
      <c r="U272" s="381"/>
      <c r="V272" s="165" t="s">
        <v>210</v>
      </c>
      <c r="X272" s="156"/>
    </row>
    <row r="273" spans="1:77" s="16" customFormat="1" ht="8.1" customHeight="1">
      <c r="B273" s="156"/>
      <c r="X273" s="156"/>
      <c r="AO273" s="92"/>
    </row>
    <row r="274" spans="1:77" s="18" customFormat="1" ht="12.95" customHeight="1">
      <c r="A274" s="162"/>
      <c r="B274" s="165" t="s">
        <v>247</v>
      </c>
      <c r="C274" s="162"/>
      <c r="D274" s="162"/>
      <c r="E274" s="162"/>
      <c r="F274" s="162"/>
      <c r="G274" s="162"/>
      <c r="H274" s="162"/>
      <c r="I274" s="162"/>
      <c r="J274" s="162"/>
      <c r="K274" s="17"/>
      <c r="L274" s="17"/>
      <c r="M274" s="17"/>
      <c r="N274" s="162"/>
      <c r="O274" s="168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9"/>
      <c r="AC274" s="170"/>
      <c r="AD274" s="17"/>
      <c r="AE274" s="17"/>
      <c r="AF274" s="17"/>
      <c r="AG274" s="17"/>
      <c r="AH274" s="17"/>
      <c r="AI274" s="17"/>
      <c r="AJ274" s="17"/>
      <c r="AK274" s="16"/>
      <c r="AL274" s="16"/>
      <c r="AM274" s="16"/>
      <c r="AN274" s="16"/>
      <c r="AO274" s="92"/>
      <c r="AP274" s="17"/>
      <c r="AQ274" s="17"/>
      <c r="AR274" s="17"/>
      <c r="AS274" s="17"/>
      <c r="AT274" s="162"/>
      <c r="AU274" s="144"/>
      <c r="AV274" s="162"/>
      <c r="AW274" s="162"/>
      <c r="AX274" s="162"/>
      <c r="AY274" s="162"/>
      <c r="AZ274" s="162"/>
      <c r="BA274" s="162"/>
      <c r="BB274" s="162"/>
      <c r="BC274" s="162"/>
      <c r="BD274" s="162"/>
      <c r="BE274" s="162"/>
      <c r="BF274" s="144"/>
      <c r="BG274" s="203"/>
      <c r="BH274" s="162"/>
      <c r="BI274" s="162"/>
      <c r="BJ274" s="162"/>
      <c r="BK274" s="162"/>
      <c r="BL274" s="162"/>
      <c r="BM274" s="162"/>
      <c r="BN274" s="162"/>
      <c r="BO274" s="162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</row>
    <row r="275" spans="1:77" s="16" customFormat="1" ht="12.95" customHeight="1">
      <c r="B275" s="156" t="s">
        <v>698</v>
      </c>
      <c r="C275" s="156" t="s">
        <v>207</v>
      </c>
      <c r="D275" s="381">
        <v>1.5</v>
      </c>
      <c r="E275" s="381"/>
      <c r="F275" s="156" t="s">
        <v>98</v>
      </c>
      <c r="G275" s="156" t="s">
        <v>239</v>
      </c>
      <c r="H275" s="50" t="s">
        <v>235</v>
      </c>
      <c r="I275" s="156" t="s">
        <v>240</v>
      </c>
      <c r="J275" s="156" t="s">
        <v>98</v>
      </c>
      <c r="K275" s="16" t="s">
        <v>699</v>
      </c>
      <c r="L275" s="50" t="s">
        <v>207</v>
      </c>
      <c r="M275" s="381">
        <v>1.5</v>
      </c>
      <c r="N275" s="381"/>
      <c r="O275" s="156" t="s">
        <v>98</v>
      </c>
      <c r="P275" s="385">
        <f>K6</f>
        <v>19</v>
      </c>
      <c r="Q275" s="385"/>
      <c r="R275" s="50" t="s">
        <v>235</v>
      </c>
      <c r="S275" s="381">
        <v>9.81</v>
      </c>
      <c r="T275" s="381"/>
      <c r="U275" s="156" t="s">
        <v>98</v>
      </c>
      <c r="V275" s="384">
        <f>P88</f>
        <v>118.81188118811882</v>
      </c>
      <c r="W275" s="381"/>
      <c r="X275" s="156"/>
      <c r="AB275" s="19"/>
      <c r="AH275" s="17"/>
    </row>
    <row r="276" spans="1:77" s="16" customFormat="1" ht="12.95" customHeight="1">
      <c r="B276" s="156"/>
      <c r="C276" s="156" t="s">
        <v>207</v>
      </c>
      <c r="D276" s="422">
        <f>M275*P275/S275*(V275^2)</f>
        <v>41010.550323812473</v>
      </c>
      <c r="E276" s="422"/>
      <c r="F276" s="422"/>
      <c r="G276" s="16" t="s">
        <v>700</v>
      </c>
      <c r="AB276" s="87"/>
      <c r="AH276" s="17"/>
    </row>
    <row r="277" spans="1:77" s="16" customFormat="1" ht="12.95" customHeight="1">
      <c r="B277" s="156"/>
      <c r="C277" s="156" t="s">
        <v>207</v>
      </c>
      <c r="D277" s="423">
        <f>D276/1000</f>
        <v>41.010550323812474</v>
      </c>
      <c r="E277" s="423"/>
      <c r="F277" s="423"/>
      <c r="G277" s="16" t="s">
        <v>206</v>
      </c>
      <c r="J277" s="156"/>
      <c r="K277" s="156"/>
      <c r="L277" s="156"/>
      <c r="M277" s="156"/>
      <c r="AH277" s="17"/>
    </row>
    <row r="278" spans="1:77" s="16" customFormat="1" ht="12.95" customHeight="1">
      <c r="B278" s="156" t="s">
        <v>701</v>
      </c>
      <c r="C278" s="156" t="s">
        <v>207</v>
      </c>
      <c r="D278" s="424">
        <v>3</v>
      </c>
      <c r="E278" s="424"/>
      <c r="F278" s="156" t="s">
        <v>98</v>
      </c>
      <c r="G278" s="156" t="s">
        <v>239</v>
      </c>
      <c r="H278" s="50" t="s">
        <v>235</v>
      </c>
      <c r="I278" s="156" t="s">
        <v>240</v>
      </c>
      <c r="J278" s="156" t="s">
        <v>98</v>
      </c>
      <c r="K278" s="16" t="s">
        <v>699</v>
      </c>
      <c r="L278" s="50" t="s">
        <v>207</v>
      </c>
      <c r="M278" s="424">
        <v>3</v>
      </c>
      <c r="N278" s="424"/>
      <c r="O278" s="156" t="s">
        <v>98</v>
      </c>
      <c r="P278" s="385">
        <f>K6</f>
        <v>19</v>
      </c>
      <c r="Q278" s="385"/>
      <c r="R278" s="50" t="s">
        <v>235</v>
      </c>
      <c r="S278" s="381">
        <v>9.81</v>
      </c>
      <c r="T278" s="381"/>
      <c r="U278" s="156" t="s">
        <v>98</v>
      </c>
      <c r="V278" s="384">
        <f>P88</f>
        <v>118.81188118811882</v>
      </c>
      <c r="W278" s="381"/>
      <c r="AH278" s="87"/>
    </row>
    <row r="279" spans="1:77" s="16" customFormat="1" ht="12.95" customHeight="1">
      <c r="B279" s="156"/>
      <c r="C279" s="156" t="s">
        <v>207</v>
      </c>
      <c r="D279" s="422">
        <f>M278*P278/S278*(V278^2)</f>
        <v>82021.100647624946</v>
      </c>
      <c r="E279" s="422"/>
      <c r="F279" s="422"/>
      <c r="G279" s="16" t="s">
        <v>700</v>
      </c>
      <c r="AB279" s="19"/>
      <c r="AC279" s="170"/>
      <c r="AD279" s="17"/>
      <c r="AE279" s="88"/>
      <c r="AF279" s="17"/>
      <c r="AG279" s="17"/>
      <c r="AH279" s="17"/>
      <c r="AI279" s="17"/>
      <c r="AJ279" s="17"/>
      <c r="AK279" s="17"/>
      <c r="AL279" s="17"/>
      <c r="AM279" s="18"/>
      <c r="AN279" s="19"/>
      <c r="AO279" s="17"/>
    </row>
    <row r="280" spans="1:77" s="16" customFormat="1" ht="12.95" customHeight="1">
      <c r="B280" s="156"/>
      <c r="C280" s="156" t="s">
        <v>207</v>
      </c>
      <c r="D280" s="423">
        <f>D279/1000</f>
        <v>82.021100647624948</v>
      </c>
      <c r="E280" s="423"/>
      <c r="F280" s="423"/>
      <c r="G280" s="16" t="s">
        <v>206</v>
      </c>
      <c r="AB280" s="19"/>
      <c r="AE280" s="89"/>
      <c r="AH280" s="17"/>
      <c r="AK280" s="17"/>
      <c r="AN280" s="19"/>
    </row>
    <row r="281" spans="1:77" s="16" customFormat="1" ht="8.1" customHeight="1">
      <c r="B281" s="156"/>
    </row>
    <row r="282" spans="1:77" s="18" customFormat="1" ht="12.95" customHeight="1">
      <c r="A282" s="162"/>
      <c r="B282" s="165" t="s">
        <v>461</v>
      </c>
      <c r="C282" s="162"/>
      <c r="D282" s="162"/>
      <c r="E282" s="162"/>
      <c r="F282" s="162"/>
      <c r="G282" s="162"/>
      <c r="H282" s="162"/>
      <c r="I282" s="162"/>
      <c r="J282" s="162"/>
      <c r="K282" s="17"/>
      <c r="L282" s="17"/>
      <c r="M282" s="17"/>
      <c r="N282" s="162"/>
      <c r="O282" s="168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62"/>
      <c r="AC282" s="168"/>
      <c r="AD282" s="17"/>
      <c r="AE282" s="17"/>
      <c r="AF282" s="17"/>
      <c r="AG282" s="17"/>
      <c r="AH282" s="17"/>
      <c r="AI282" s="17"/>
      <c r="AJ282" s="17"/>
      <c r="AK282" s="17"/>
      <c r="AL282" s="17"/>
      <c r="AN282" s="162"/>
      <c r="AO282" s="17"/>
      <c r="AP282" s="17"/>
      <c r="AQ282" s="17"/>
      <c r="AR282" s="17"/>
      <c r="AS282" s="17"/>
      <c r="AT282" s="162"/>
      <c r="AU282" s="144"/>
      <c r="AV282" s="162"/>
      <c r="AW282" s="162"/>
      <c r="AX282" s="162"/>
      <c r="AY282" s="162"/>
      <c r="AZ282" s="162"/>
      <c r="BA282" s="162"/>
      <c r="BB282" s="162"/>
      <c r="BC282" s="162"/>
      <c r="BD282" s="162"/>
      <c r="BE282" s="162"/>
      <c r="BF282" s="144"/>
      <c r="BG282" s="203"/>
      <c r="BH282" s="162"/>
      <c r="BI282" s="162"/>
      <c r="BJ282" s="162"/>
      <c r="BK282" s="162"/>
      <c r="BL282" s="162"/>
      <c r="BM282" s="162"/>
      <c r="BN282" s="162"/>
      <c r="BO282" s="162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</row>
    <row r="283" spans="1:77" s="16" customFormat="1" ht="12.95" customHeight="1">
      <c r="B283" s="157" t="s">
        <v>702</v>
      </c>
      <c r="C283" s="16" t="s">
        <v>462</v>
      </c>
      <c r="H283" s="156" t="s">
        <v>207</v>
      </c>
      <c r="I283" s="381" t="s">
        <v>463</v>
      </c>
      <c r="J283" s="381"/>
      <c r="K283" s="156" t="s">
        <v>98</v>
      </c>
      <c r="L283" s="381" t="s">
        <v>703</v>
      </c>
      <c r="M283" s="381"/>
      <c r="N283" s="381"/>
      <c r="O283" s="50" t="s">
        <v>235</v>
      </c>
      <c r="P283" s="381" t="s">
        <v>232</v>
      </c>
      <c r="Q283" s="381"/>
    </row>
    <row r="284" spans="1:77" s="16" customFormat="1" ht="12.95" customHeight="1">
      <c r="B284" s="156"/>
      <c r="H284" s="156" t="s">
        <v>207</v>
      </c>
      <c r="I284" s="381" t="s">
        <v>463</v>
      </c>
      <c r="J284" s="381"/>
      <c r="K284" s="156" t="s">
        <v>98</v>
      </c>
      <c r="L284" s="421">
        <f>D265</f>
        <v>7.6919497881082557E-3</v>
      </c>
      <c r="M284" s="421"/>
      <c r="N284" s="421"/>
      <c r="O284" s="50" t="s">
        <v>235</v>
      </c>
      <c r="P284" s="381">
        <f>R271</f>
        <v>83.021180712032461</v>
      </c>
      <c r="Q284" s="381"/>
      <c r="R284" s="156" t="s">
        <v>207</v>
      </c>
      <c r="S284" s="425">
        <f>PI()*L284/P284</f>
        <v>2.9106997441919271E-4</v>
      </c>
      <c r="T284" s="425"/>
      <c r="U284" s="425"/>
    </row>
    <row r="285" spans="1:77" s="16" customFormat="1" ht="12.95" customHeight="1">
      <c r="B285" s="155" t="s">
        <v>704</v>
      </c>
      <c r="C285" s="156" t="s">
        <v>207</v>
      </c>
      <c r="D285" s="156" t="s">
        <v>241</v>
      </c>
      <c r="E285" s="156" t="s">
        <v>698</v>
      </c>
      <c r="F285" s="50" t="s">
        <v>235</v>
      </c>
      <c r="G285" s="156" t="s">
        <v>520</v>
      </c>
      <c r="H285" s="156" t="s">
        <v>98</v>
      </c>
      <c r="I285" s="156" t="s">
        <v>493</v>
      </c>
      <c r="L285" s="156" t="s">
        <v>207</v>
      </c>
      <c r="M285" s="381">
        <f>SQRT(D276/(R12*R16))</f>
        <v>8.8503895234450611E-2</v>
      </c>
      <c r="N285" s="381"/>
      <c r="O285" s="381"/>
      <c r="P285" s="381"/>
    </row>
    <row r="286" spans="1:77" s="16" customFormat="1" ht="12.95" customHeight="1">
      <c r="B286" s="155" t="s">
        <v>705</v>
      </c>
      <c r="C286" s="156" t="s">
        <v>207</v>
      </c>
      <c r="D286" s="16">
        <v>4</v>
      </c>
      <c r="E286" s="156" t="s">
        <v>241</v>
      </c>
      <c r="F286" s="156" t="s">
        <v>233</v>
      </c>
      <c r="G286" s="156" t="s">
        <v>701</v>
      </c>
      <c r="H286" s="50" t="s">
        <v>235</v>
      </c>
      <c r="I286" s="381" t="s">
        <v>242</v>
      </c>
      <c r="J286" s="381"/>
      <c r="K286" s="16" t="s">
        <v>234</v>
      </c>
      <c r="L286" s="156" t="s">
        <v>207</v>
      </c>
      <c r="M286" s="16">
        <v>4</v>
      </c>
      <c r="N286" s="156" t="s">
        <v>241</v>
      </c>
      <c r="O286" s="16" t="s">
        <v>233</v>
      </c>
      <c r="P286" s="422">
        <f>D279</f>
        <v>82021.100647624946</v>
      </c>
      <c r="Q286" s="381"/>
      <c r="R286" s="381"/>
      <c r="S286" s="50" t="s">
        <v>235</v>
      </c>
      <c r="T286" s="381">
        <f>R12*R17</f>
        <v>644069.04673273687</v>
      </c>
      <c r="U286" s="381"/>
      <c r="V286" s="381"/>
      <c r="W286" s="16" t="s">
        <v>234</v>
      </c>
    </row>
    <row r="287" spans="1:77" s="16" customFormat="1" ht="12.95" customHeight="1">
      <c r="B287" s="156"/>
      <c r="C287" s="156" t="s">
        <v>207</v>
      </c>
      <c r="D287" s="425">
        <f>(P286/T286)^(1/4)</f>
        <v>0.59737671621416455</v>
      </c>
      <c r="E287" s="425"/>
      <c r="F287" s="425"/>
      <c r="G287" s="425"/>
    </row>
    <row r="288" spans="1:77" s="16" customFormat="1" ht="12.95" customHeight="1">
      <c r="B288" s="156" t="s">
        <v>706</v>
      </c>
      <c r="C288" s="156" t="s">
        <v>207</v>
      </c>
      <c r="D288" s="425">
        <f>1/(1+(2*PI()/(M285*R272))^2)</f>
        <v>0.73226938448527501</v>
      </c>
      <c r="E288" s="425"/>
      <c r="F288" s="425"/>
      <c r="G288" s="425"/>
      <c r="AJ288" s="156"/>
    </row>
    <row r="289" spans="2:36" s="16" customFormat="1" ht="12.95" customHeight="1">
      <c r="B289" s="156" t="s">
        <v>707</v>
      </c>
      <c r="C289" s="156" t="s">
        <v>207</v>
      </c>
      <c r="D289" s="425">
        <f>1/(1+(2*PI()/(D287*R272))^4)</f>
        <v>0.9999356004658525</v>
      </c>
      <c r="E289" s="425"/>
      <c r="F289" s="425"/>
      <c r="G289" s="425"/>
      <c r="X289" s="156"/>
      <c r="Y289" s="156"/>
      <c r="Z289" s="156"/>
      <c r="AA289" s="156"/>
      <c r="AG289" s="156"/>
      <c r="AH289" s="156"/>
      <c r="AI289" s="156"/>
      <c r="AJ289" s="156"/>
    </row>
    <row r="290" spans="2:36" s="16" customFormat="1" ht="12.95" customHeight="1">
      <c r="B290" s="155" t="s">
        <v>708</v>
      </c>
      <c r="C290" s="156" t="s">
        <v>207</v>
      </c>
      <c r="D290" s="381" t="s">
        <v>706</v>
      </c>
      <c r="E290" s="381"/>
      <c r="F290" s="156" t="s">
        <v>98</v>
      </c>
      <c r="G290" s="380" t="s">
        <v>709</v>
      </c>
      <c r="H290" s="381"/>
      <c r="I290" s="156" t="s">
        <v>207</v>
      </c>
      <c r="J290" s="428">
        <f>D288*S284</f>
        <v>2.1314163101008698E-4</v>
      </c>
      <c r="K290" s="428"/>
      <c r="L290" s="428"/>
      <c r="O290" s="156"/>
      <c r="R290" s="156"/>
      <c r="S290" s="156"/>
      <c r="T290" s="156"/>
      <c r="U290" s="156"/>
      <c r="V290" s="90"/>
      <c r="W290" s="156"/>
      <c r="X290" s="156"/>
      <c r="Y290" s="156"/>
      <c r="Z290" s="156"/>
      <c r="AA290" s="156"/>
      <c r="AG290" s="156"/>
      <c r="AH290" s="156"/>
      <c r="AI290" s="156"/>
      <c r="AJ290" s="156"/>
    </row>
    <row r="291" spans="2:36" s="16" customFormat="1" ht="12.95" customHeight="1">
      <c r="B291" s="155" t="s">
        <v>710</v>
      </c>
      <c r="C291" s="156" t="s">
        <v>207</v>
      </c>
      <c r="D291" s="381" t="s">
        <v>707</v>
      </c>
      <c r="E291" s="381"/>
      <c r="F291" s="156" t="s">
        <v>98</v>
      </c>
      <c r="G291" s="380" t="s">
        <v>709</v>
      </c>
      <c r="H291" s="381"/>
      <c r="I291" s="156" t="s">
        <v>207</v>
      </c>
      <c r="J291" s="428">
        <f>D289*((2*PI()*R14)/R271)*S284</f>
        <v>2.2027256105965751E-5</v>
      </c>
      <c r="K291" s="428"/>
      <c r="L291" s="428"/>
      <c r="R291" s="156"/>
      <c r="S291" s="156"/>
      <c r="T291" s="156"/>
      <c r="U291" s="156"/>
      <c r="V291" s="90"/>
      <c r="W291" s="156"/>
      <c r="X291" s="156"/>
      <c r="Y291" s="156"/>
      <c r="Z291" s="156"/>
      <c r="AA291" s="156"/>
      <c r="AG291" s="156"/>
      <c r="AH291" s="156"/>
      <c r="AI291" s="156"/>
      <c r="AJ291" s="156"/>
    </row>
    <row r="292" spans="2:36" s="16" customFormat="1" ht="8.1" customHeight="1">
      <c r="O292" s="156"/>
      <c r="R292" s="156"/>
      <c r="S292" s="156"/>
      <c r="T292" s="156"/>
      <c r="U292" s="156"/>
      <c r="V292" s="90"/>
      <c r="W292" s="156"/>
      <c r="X292" s="156"/>
      <c r="Y292" s="156"/>
      <c r="Z292" s="156"/>
      <c r="AA292" s="156"/>
      <c r="AG292" s="156"/>
      <c r="AH292" s="156"/>
      <c r="AI292" s="156"/>
      <c r="AJ292" s="156"/>
    </row>
    <row r="293" spans="2:36" s="16" customFormat="1" ht="12.95" customHeight="1">
      <c r="B293" s="165" t="s">
        <v>466</v>
      </c>
    </row>
    <row r="294" spans="2:36" s="16" customFormat="1" ht="12.95" customHeight="1">
      <c r="B294" s="156" t="s">
        <v>467</v>
      </c>
      <c r="C294" s="16" t="s">
        <v>468</v>
      </c>
      <c r="H294" s="156" t="s">
        <v>207</v>
      </c>
      <c r="I294" s="426">
        <v>0.01</v>
      </c>
      <c r="J294" s="426"/>
      <c r="K294" s="16" t="s">
        <v>206</v>
      </c>
      <c r="L294" s="92"/>
      <c r="M294" s="156" t="s">
        <v>207</v>
      </c>
      <c r="N294" s="381">
        <f>I294*1000</f>
        <v>10</v>
      </c>
      <c r="O294" s="381"/>
      <c r="P294" s="381"/>
      <c r="Q294" s="16" t="s">
        <v>700</v>
      </c>
    </row>
    <row r="295" spans="2:36" s="16" customFormat="1" ht="12.95" customHeight="1">
      <c r="B295" s="156" t="s">
        <v>469</v>
      </c>
      <c r="C295" s="156" t="s">
        <v>207</v>
      </c>
      <c r="D295" s="381">
        <v>2</v>
      </c>
      <c r="E295" s="381"/>
      <c r="F295" s="156" t="s">
        <v>98</v>
      </c>
      <c r="G295" s="381">
        <f>SQRT(2)</f>
        <v>1.4142135623730951</v>
      </c>
      <c r="H295" s="381"/>
      <c r="I295" s="156" t="s">
        <v>98</v>
      </c>
      <c r="J295" s="427">
        <f>R12</f>
        <v>210000000</v>
      </c>
      <c r="K295" s="427"/>
      <c r="L295" s="427"/>
      <c r="M295" s="156" t="s">
        <v>98</v>
      </c>
      <c r="N295" s="381">
        <f>R13</f>
        <v>8.0000000000000002E-3</v>
      </c>
      <c r="O295" s="381"/>
      <c r="P295" s="381"/>
      <c r="Q295" s="50" t="s">
        <v>235</v>
      </c>
      <c r="R295" s="381">
        <f>N294</f>
        <v>10</v>
      </c>
      <c r="S295" s="381"/>
      <c r="T295" s="381"/>
      <c r="U295" s="156" t="s">
        <v>207</v>
      </c>
      <c r="V295" s="384">
        <f>D295*G295*J295*N295/R295</f>
        <v>475175.75695735996</v>
      </c>
      <c r="W295" s="384"/>
      <c r="X295" s="384"/>
      <c r="Y295" s="16" t="s">
        <v>210</v>
      </c>
    </row>
    <row r="296" spans="2:36" s="16" customFormat="1" ht="5.0999999999999996" customHeight="1">
      <c r="C296" s="156"/>
      <c r="D296" s="156"/>
      <c r="E296" s="156"/>
      <c r="F296" s="156"/>
      <c r="G296" s="156"/>
      <c r="H296" s="156"/>
      <c r="I296" s="156"/>
      <c r="J296" s="163"/>
      <c r="K296" s="163"/>
      <c r="L296" s="163"/>
      <c r="M296" s="156"/>
      <c r="N296" s="156"/>
      <c r="O296" s="156"/>
      <c r="P296" s="156"/>
      <c r="Q296" s="50"/>
      <c r="R296" s="156"/>
      <c r="S296" s="156"/>
      <c r="T296" s="156"/>
      <c r="U296" s="156"/>
      <c r="V296" s="156"/>
      <c r="W296" s="156"/>
      <c r="X296" s="156"/>
    </row>
    <row r="297" spans="2:36" s="16" customFormat="1" ht="12.95" customHeight="1">
      <c r="B297" s="155" t="s">
        <v>711</v>
      </c>
      <c r="C297" s="16" t="s">
        <v>464</v>
      </c>
      <c r="H297" s="156" t="s">
        <v>207</v>
      </c>
      <c r="I297" s="381" t="s">
        <v>465</v>
      </c>
      <c r="J297" s="381"/>
      <c r="K297" s="381"/>
      <c r="L297" s="381"/>
      <c r="M297" s="156" t="s">
        <v>207</v>
      </c>
      <c r="N297" s="381">
        <v>23</v>
      </c>
      <c r="O297" s="381"/>
      <c r="P297" s="381"/>
      <c r="Q297" s="156" t="s">
        <v>98</v>
      </c>
      <c r="R297" s="381">
        <f>R13</f>
        <v>8.0000000000000002E-3</v>
      </c>
      <c r="S297" s="381"/>
      <c r="T297" s="381"/>
      <c r="U297" s="50" t="s">
        <v>235</v>
      </c>
      <c r="V297" s="424">
        <f>R14</f>
        <v>1</v>
      </c>
      <c r="W297" s="381"/>
      <c r="X297" s="381"/>
    </row>
    <row r="298" spans="2:36" s="16" customFormat="1" ht="12.95" customHeight="1">
      <c r="H298" s="50" t="s">
        <v>207</v>
      </c>
      <c r="I298" s="429">
        <f>N297*R297/V297</f>
        <v>0.184</v>
      </c>
      <c r="J298" s="429"/>
      <c r="K298" s="429"/>
      <c r="L298" s="429"/>
      <c r="M298" s="156" t="s">
        <v>207</v>
      </c>
      <c r="N298" s="381">
        <f>I298/100</f>
        <v>1.8400000000000001E-3</v>
      </c>
      <c r="O298" s="381"/>
      <c r="P298" s="381"/>
    </row>
    <row r="299" spans="2:36" s="16" customFormat="1" ht="12.95" customHeight="1">
      <c r="B299" s="155" t="s">
        <v>712</v>
      </c>
      <c r="C299" s="16" t="s">
        <v>470</v>
      </c>
      <c r="H299" s="156" t="s">
        <v>207</v>
      </c>
      <c r="I299" s="381" t="s">
        <v>471</v>
      </c>
      <c r="J299" s="381"/>
      <c r="K299" s="381"/>
      <c r="L299" s="381"/>
      <c r="M299" s="156" t="s">
        <v>207</v>
      </c>
      <c r="N299" s="381">
        <v>46</v>
      </c>
      <c r="O299" s="381"/>
      <c r="P299" s="381"/>
      <c r="Q299" s="156" t="s">
        <v>98</v>
      </c>
      <c r="R299" s="381">
        <f>K13</f>
        <v>8</v>
      </c>
      <c r="S299" s="381"/>
      <c r="T299" s="381"/>
      <c r="U299" s="50" t="s">
        <v>235</v>
      </c>
      <c r="V299" s="211">
        <f>K14</f>
        <v>1000</v>
      </c>
      <c r="W299" s="381"/>
      <c r="X299" s="381"/>
    </row>
    <row r="300" spans="2:36" s="16" customFormat="1" ht="12.95" customHeight="1">
      <c r="H300" s="50" t="s">
        <v>207</v>
      </c>
      <c r="I300" s="429">
        <f>N299*R299/V299</f>
        <v>0.36799999999999999</v>
      </c>
      <c r="J300" s="429"/>
      <c r="K300" s="429"/>
      <c r="L300" s="429"/>
      <c r="M300" s="156" t="s">
        <v>207</v>
      </c>
      <c r="N300" s="381">
        <f>I300/100</f>
        <v>3.6800000000000001E-3</v>
      </c>
      <c r="O300" s="381"/>
      <c r="P300" s="381"/>
    </row>
    <row r="301" spans="2:36" s="16" customFormat="1" ht="12.95" customHeight="1">
      <c r="B301" s="156" t="s">
        <v>693</v>
      </c>
      <c r="C301" s="156" t="s">
        <v>207</v>
      </c>
      <c r="D301" s="156" t="s">
        <v>469</v>
      </c>
      <c r="E301" s="156" t="s">
        <v>98</v>
      </c>
      <c r="F301" s="155" t="s">
        <v>711</v>
      </c>
      <c r="H301" s="156" t="s">
        <v>207</v>
      </c>
      <c r="I301" s="381">
        <f>V295</f>
        <v>475175.75695735996</v>
      </c>
      <c r="J301" s="381"/>
      <c r="K301" s="381"/>
      <c r="L301" s="381"/>
      <c r="M301" s="156" t="s">
        <v>98</v>
      </c>
      <c r="N301" s="381">
        <f>N300</f>
        <v>3.6800000000000001E-3</v>
      </c>
      <c r="O301" s="381"/>
      <c r="P301" s="381"/>
      <c r="Q301" s="156" t="s">
        <v>207</v>
      </c>
      <c r="R301" s="384">
        <f>I301*N301</f>
        <v>1748.6467856030847</v>
      </c>
      <c r="S301" s="384"/>
      <c r="T301" s="384"/>
      <c r="U301" s="165" t="s">
        <v>210</v>
      </c>
    </row>
    <row r="302" spans="2:36" s="16" customFormat="1" ht="5.0999999999999996" customHeight="1"/>
    <row r="303" spans="2:36" s="16" customFormat="1" ht="12.95" customHeight="1">
      <c r="B303" s="156" t="s">
        <v>232</v>
      </c>
      <c r="C303" s="156" t="s">
        <v>1</v>
      </c>
      <c r="D303" s="384">
        <f>R271</f>
        <v>83.021180712032461</v>
      </c>
      <c r="E303" s="384"/>
      <c r="F303" s="384"/>
      <c r="G303" s="16" t="s">
        <v>210</v>
      </c>
      <c r="H303" s="216" t="str">
        <f>IF(D303&gt;L303,"&gt;","&lt;")</f>
        <v>&lt;</v>
      </c>
      <c r="I303" s="216"/>
      <c r="J303" s="16" t="s">
        <v>230</v>
      </c>
      <c r="L303" s="384">
        <f>R301</f>
        <v>1748.6467856030847</v>
      </c>
      <c r="M303" s="384"/>
      <c r="N303" s="384"/>
      <c r="O303" s="16" t="s">
        <v>210</v>
      </c>
    </row>
    <row r="304" spans="2:36" s="16" customFormat="1" ht="12.95" customHeight="1"/>
    <row r="305" spans="1:36" s="16" customFormat="1" ht="12.95" customHeight="1">
      <c r="B305" s="155" t="s">
        <v>708</v>
      </c>
      <c r="D305" s="16" t="s">
        <v>207</v>
      </c>
      <c r="E305" s="428">
        <f>IF(D303&gt;L303,J290,D303/V295)</f>
        <v>1.7471678530830937E-4</v>
      </c>
      <c r="F305" s="428"/>
      <c r="G305" s="428"/>
      <c r="H305" s="428"/>
      <c r="I305" s="428"/>
    </row>
    <row r="306" spans="1:36" s="16" customFormat="1" ht="12.95" customHeight="1">
      <c r="B306" s="155" t="s">
        <v>710</v>
      </c>
      <c r="D306" s="16" t="s">
        <v>207</v>
      </c>
      <c r="E306" s="428">
        <f>J291</f>
        <v>2.2027256105965751E-5</v>
      </c>
      <c r="F306" s="428"/>
      <c r="G306" s="428"/>
      <c r="H306" s="428"/>
      <c r="I306" s="428"/>
    </row>
    <row r="307" spans="1:36" s="16" customFormat="1" ht="12.95" customHeight="1">
      <c r="B307" s="91" t="s">
        <v>713</v>
      </c>
      <c r="C307" s="92"/>
      <c r="D307" s="92" t="s">
        <v>207</v>
      </c>
      <c r="E307" s="430">
        <f>SQRT(E305^2+E306^2)</f>
        <v>1.7609984406588119E-4</v>
      </c>
      <c r="F307" s="430"/>
      <c r="G307" s="430"/>
      <c r="H307" s="430"/>
      <c r="I307" s="430"/>
      <c r="J307" s="93" t="s">
        <v>1</v>
      </c>
      <c r="K307" s="431">
        <f>E307*100</f>
        <v>1.7609984406588119E-2</v>
      </c>
      <c r="L307" s="431"/>
      <c r="M307" s="431"/>
      <c r="N307" s="204" t="s">
        <v>152</v>
      </c>
      <c r="O307" s="94"/>
    </row>
    <row r="308" spans="1:36" s="16" customFormat="1" ht="12.95" customHeight="1">
      <c r="O308" s="156"/>
      <c r="R308" s="156"/>
      <c r="S308" s="156"/>
      <c r="T308" s="156"/>
      <c r="U308" s="156"/>
      <c r="V308" s="90"/>
      <c r="W308" s="156"/>
      <c r="X308" s="156"/>
      <c r="Y308" s="156"/>
      <c r="Z308" s="156"/>
      <c r="AA308" s="156"/>
      <c r="AG308" s="156"/>
      <c r="AH308" s="156"/>
      <c r="AI308" s="156"/>
      <c r="AJ308" s="156"/>
    </row>
    <row r="309" spans="1:36" s="16" customFormat="1" ht="12.95" customHeight="1">
      <c r="A309" s="5" t="s">
        <v>434</v>
      </c>
      <c r="B309" s="92"/>
      <c r="C309" s="92"/>
      <c r="D309" s="92"/>
      <c r="E309" s="93"/>
      <c r="F309" s="93"/>
      <c r="G309" s="93"/>
      <c r="H309" s="93"/>
      <c r="I309" s="93"/>
      <c r="J309" s="93"/>
    </row>
    <row r="310" spans="1:36" s="16" customFormat="1" ht="15" customHeight="1">
      <c r="B310" s="90" t="s">
        <v>424</v>
      </c>
      <c r="M310" s="156" t="s">
        <v>248</v>
      </c>
      <c r="N310" s="205" t="s">
        <v>249</v>
      </c>
      <c r="O310" s="156"/>
      <c r="P310" s="156"/>
      <c r="Q310" s="156"/>
    </row>
    <row r="311" spans="1:36" s="16" customFormat="1" ht="15" customHeight="1">
      <c r="B311" s="90" t="s">
        <v>425</v>
      </c>
      <c r="M311" s="156" t="s">
        <v>248</v>
      </c>
      <c r="N311" s="205" t="s">
        <v>250</v>
      </c>
      <c r="O311" s="156"/>
      <c r="P311" s="156"/>
      <c r="Q311" s="156"/>
    </row>
    <row r="312" spans="1:36" s="16" customFormat="1" ht="15" customHeight="1">
      <c r="B312" s="90" t="s">
        <v>426</v>
      </c>
      <c r="M312" s="156" t="s">
        <v>248</v>
      </c>
      <c r="N312" s="205" t="s">
        <v>13</v>
      </c>
      <c r="O312" s="156"/>
      <c r="P312" s="156"/>
      <c r="Q312" s="156"/>
    </row>
    <row r="313" spans="1:36" s="16" customFormat="1" ht="15" customHeight="1">
      <c r="B313" s="90" t="s">
        <v>427</v>
      </c>
      <c r="M313" s="156" t="s">
        <v>248</v>
      </c>
      <c r="N313" s="205" t="s">
        <v>31</v>
      </c>
      <c r="O313" s="156"/>
      <c r="P313" s="156"/>
      <c r="Q313" s="156"/>
      <c r="AD313" s="381"/>
      <c r="AE313" s="381"/>
    </row>
    <row r="314" spans="1:36" s="16" customFormat="1" ht="15" customHeight="1">
      <c r="B314" s="90" t="s">
        <v>428</v>
      </c>
      <c r="M314" s="156" t="s">
        <v>248</v>
      </c>
      <c r="N314" s="432">
        <f>AC102</f>
        <v>3</v>
      </c>
      <c r="O314" s="216"/>
      <c r="P314" s="216"/>
      <c r="Q314" s="216"/>
      <c r="AD314" s="381"/>
      <c r="AE314" s="381"/>
    </row>
    <row r="315" spans="1:36" s="16" customFormat="1" ht="15" customHeight="1">
      <c r="B315" s="90" t="s">
        <v>429</v>
      </c>
      <c r="M315" s="156" t="s">
        <v>248</v>
      </c>
      <c r="N315" s="214">
        <f>R136</f>
        <v>6.2699999999999992E-2</v>
      </c>
      <c r="O315" s="216"/>
      <c r="P315" s="216"/>
      <c r="Q315" s="216"/>
      <c r="R315" s="16" t="s">
        <v>12</v>
      </c>
      <c r="AD315" s="381"/>
      <c r="AE315" s="381"/>
    </row>
    <row r="316" spans="1:36" s="16" customFormat="1" ht="15" customHeight="1">
      <c r="B316" s="90" t="s">
        <v>714</v>
      </c>
      <c r="M316" s="156" t="s">
        <v>248</v>
      </c>
      <c r="N316" s="214">
        <f>R137</f>
        <v>0.107</v>
      </c>
      <c r="O316" s="216"/>
      <c r="P316" s="216"/>
      <c r="Q316" s="216"/>
      <c r="R316" s="16" t="s">
        <v>12</v>
      </c>
      <c r="AD316" s="381"/>
      <c r="AE316" s="381"/>
    </row>
    <row r="317" spans="1:36" s="16" customFormat="1" ht="15" customHeight="1">
      <c r="B317" s="90" t="s">
        <v>430</v>
      </c>
      <c r="M317" s="156" t="s">
        <v>248</v>
      </c>
      <c r="N317" s="214">
        <f>R140</f>
        <v>0.154</v>
      </c>
      <c r="O317" s="216"/>
      <c r="P317" s="216"/>
      <c r="Q317" s="216"/>
      <c r="R317" s="16" t="s">
        <v>12</v>
      </c>
      <c r="AD317" s="436"/>
      <c r="AE317" s="436"/>
    </row>
    <row r="318" spans="1:36" s="16" customFormat="1" ht="15" customHeight="1">
      <c r="B318" s="90" t="s">
        <v>715</v>
      </c>
      <c r="M318" s="156" t="s">
        <v>248</v>
      </c>
      <c r="N318" s="214">
        <f>R141</f>
        <v>0.245</v>
      </c>
      <c r="O318" s="216"/>
      <c r="P318" s="216"/>
      <c r="Q318" s="216"/>
      <c r="R318" s="16" t="s">
        <v>12</v>
      </c>
    </row>
    <row r="319" spans="1:36" s="16" customFormat="1" ht="15" customHeight="1">
      <c r="B319" s="90" t="s">
        <v>716</v>
      </c>
      <c r="M319" s="156" t="s">
        <v>248</v>
      </c>
      <c r="N319" s="433">
        <f>R202</f>
        <v>0.32300000000000001</v>
      </c>
      <c r="O319" s="216"/>
      <c r="P319" s="216"/>
      <c r="Q319" s="216"/>
      <c r="R319" s="16" t="s">
        <v>109</v>
      </c>
    </row>
    <row r="320" spans="1:36" s="16" customFormat="1" ht="15" customHeight="1">
      <c r="B320" s="90" t="s">
        <v>717</v>
      </c>
      <c r="M320" s="156" t="s">
        <v>248</v>
      </c>
      <c r="N320" s="433">
        <f>R203</f>
        <v>0.40400000000000003</v>
      </c>
      <c r="O320" s="216"/>
      <c r="P320" s="216"/>
      <c r="Q320" s="216"/>
      <c r="R320" s="16" t="s">
        <v>109</v>
      </c>
    </row>
    <row r="321" spans="1:35" s="16" customFormat="1" ht="15" customHeight="1">
      <c r="B321" s="90" t="s">
        <v>718</v>
      </c>
      <c r="M321" s="156" t="s">
        <v>248</v>
      </c>
      <c r="N321" s="216">
        <f>MAX(V254:Y256)</f>
        <v>0.113</v>
      </c>
      <c r="O321" s="216"/>
      <c r="P321" s="216"/>
      <c r="Q321" s="216"/>
      <c r="R321" s="16" t="s">
        <v>48</v>
      </c>
      <c r="AD321" s="434"/>
      <c r="AE321" s="381"/>
      <c r="AF321" s="96"/>
    </row>
    <row r="322" spans="1:35" s="16" customFormat="1" ht="15" customHeight="1">
      <c r="B322" s="90" t="s">
        <v>719</v>
      </c>
      <c r="M322" s="156" t="s">
        <v>248</v>
      </c>
      <c r="N322" s="435">
        <f>I298</f>
        <v>0.184</v>
      </c>
      <c r="O322" s="435"/>
      <c r="P322" s="435"/>
      <c r="Q322" s="435"/>
      <c r="R322" s="16" t="s">
        <v>152</v>
      </c>
      <c r="AD322" s="164"/>
      <c r="AE322" s="156"/>
      <c r="AF322" s="96"/>
    </row>
    <row r="323" spans="1:35" s="16" customFormat="1" ht="15" customHeight="1">
      <c r="B323" s="90" t="s">
        <v>720</v>
      </c>
      <c r="M323" s="156" t="s">
        <v>248</v>
      </c>
      <c r="N323" s="435">
        <f>I300</f>
        <v>0.36799999999999999</v>
      </c>
      <c r="O323" s="435"/>
      <c r="P323" s="435"/>
      <c r="Q323" s="435"/>
      <c r="R323" s="16" t="s">
        <v>152</v>
      </c>
      <c r="AD323" s="164"/>
      <c r="AE323" s="156"/>
      <c r="AF323" s="96"/>
    </row>
    <row r="324" spans="1:35" s="16" customFormat="1" ht="12.95" customHeight="1">
      <c r="M324" s="156"/>
      <c r="N324" s="93"/>
      <c r="O324" s="93"/>
      <c r="P324" s="93"/>
      <c r="Q324" s="93"/>
      <c r="AD324" s="164"/>
      <c r="AE324" s="156"/>
      <c r="AF324" s="96"/>
    </row>
    <row r="325" spans="1:35" s="16" customFormat="1" ht="12.95" customHeight="1">
      <c r="B325" s="90" t="s">
        <v>721</v>
      </c>
      <c r="M325" s="156"/>
      <c r="N325" s="93"/>
      <c r="O325" s="93"/>
      <c r="P325" s="93"/>
      <c r="Q325" s="93"/>
      <c r="AB325" s="16" t="str">
        <f>A1</f>
        <v>■ 하안 송수관로 01(01) Sta. No. 4+15.0 강관 내진안전성평가</v>
      </c>
      <c r="AD325" s="164"/>
      <c r="AE325" s="156"/>
      <c r="AF325" s="96"/>
    </row>
    <row r="326" spans="1:35" s="16" customFormat="1" ht="18" customHeight="1">
      <c r="B326" s="440" t="s">
        <v>416</v>
      </c>
      <c r="C326" s="441"/>
      <c r="D326" s="441"/>
      <c r="E326" s="441"/>
      <c r="F326" s="441"/>
      <c r="G326" s="441"/>
      <c r="H326" s="441"/>
      <c r="I326" s="441"/>
      <c r="J326" s="441"/>
      <c r="K326" s="441"/>
      <c r="L326" s="441"/>
      <c r="M326" s="441" t="s">
        <v>528</v>
      </c>
      <c r="N326" s="441"/>
      <c r="O326" s="441"/>
      <c r="P326" s="441"/>
      <c r="Q326" s="441"/>
      <c r="R326" s="441"/>
      <c r="S326" s="441" t="s">
        <v>420</v>
      </c>
      <c r="T326" s="441"/>
      <c r="U326" s="441"/>
      <c r="V326" s="441"/>
      <c r="W326" s="441"/>
      <c r="X326" s="442"/>
      <c r="AB326" s="135" t="s">
        <v>418</v>
      </c>
      <c r="AC326" s="135" t="s">
        <v>419</v>
      </c>
      <c r="AD326" s="135" t="s">
        <v>421</v>
      </c>
      <c r="AE326" s="135" t="s">
        <v>422</v>
      </c>
      <c r="AF326" s="135" t="s">
        <v>582</v>
      </c>
      <c r="AG326" s="135" t="s">
        <v>558</v>
      </c>
      <c r="AH326" s="135" t="s">
        <v>559</v>
      </c>
      <c r="AI326" s="135" t="s">
        <v>581</v>
      </c>
    </row>
    <row r="327" spans="1:35" s="16" customFormat="1" ht="18" customHeight="1">
      <c r="B327" s="443" t="s">
        <v>417</v>
      </c>
      <c r="C327" s="437"/>
      <c r="D327" s="437"/>
      <c r="E327" s="437"/>
      <c r="F327" s="437"/>
      <c r="G327" s="437" t="s">
        <v>418</v>
      </c>
      <c r="H327" s="437"/>
      <c r="I327" s="437"/>
      <c r="J327" s="437"/>
      <c r="K327" s="437"/>
      <c r="L327" s="437"/>
      <c r="M327" s="439">
        <f>D155</f>
        <v>1.5349428571428571E-2</v>
      </c>
      <c r="N327" s="439"/>
      <c r="O327" s="439"/>
      <c r="P327" s="439"/>
      <c r="Q327" s="439"/>
      <c r="R327" s="439"/>
      <c r="S327" s="437" t="s">
        <v>7</v>
      </c>
      <c r="T327" s="437"/>
      <c r="U327" s="437"/>
      <c r="V327" s="437"/>
      <c r="W327" s="437"/>
      <c r="X327" s="438"/>
      <c r="AB327" s="136">
        <f>M327</f>
        <v>1.5349428571428571E-2</v>
      </c>
      <c r="AC327" s="136">
        <f>M328</f>
        <v>0</v>
      </c>
      <c r="AD327" s="136">
        <f>M329</f>
        <v>2.4E-2</v>
      </c>
      <c r="AE327" s="136">
        <f>M330</f>
        <v>0</v>
      </c>
      <c r="AF327" s="136">
        <f>SUM(AB327:AE327)</f>
        <v>3.934942857142857E-2</v>
      </c>
      <c r="AG327" s="136">
        <f>M331</f>
        <v>1.7609984406588119E-2</v>
      </c>
      <c r="AH327" s="136">
        <f>M332</f>
        <v>5.6959412978016689E-2</v>
      </c>
      <c r="AI327" s="136">
        <f>M333</f>
        <v>0.36799999999999999</v>
      </c>
    </row>
    <row r="328" spans="1:35" s="16" customFormat="1" ht="18" customHeight="1">
      <c r="B328" s="443"/>
      <c r="C328" s="437"/>
      <c r="D328" s="437"/>
      <c r="E328" s="437"/>
      <c r="F328" s="437"/>
      <c r="G328" s="437" t="s">
        <v>419</v>
      </c>
      <c r="H328" s="437"/>
      <c r="I328" s="437"/>
      <c r="J328" s="437"/>
      <c r="K328" s="437"/>
      <c r="L328" s="437"/>
      <c r="M328" s="439">
        <f>S168</f>
        <v>0</v>
      </c>
      <c r="N328" s="439"/>
      <c r="O328" s="439"/>
      <c r="P328" s="439"/>
      <c r="Q328" s="439"/>
      <c r="R328" s="439"/>
      <c r="S328" s="437" t="s">
        <v>7</v>
      </c>
      <c r="T328" s="437"/>
      <c r="U328" s="437"/>
      <c r="V328" s="437"/>
      <c r="W328" s="437"/>
      <c r="X328" s="438"/>
    </row>
    <row r="329" spans="1:35" s="16" customFormat="1" ht="18" customHeight="1">
      <c r="B329" s="443"/>
      <c r="C329" s="437"/>
      <c r="D329" s="437"/>
      <c r="E329" s="437"/>
      <c r="F329" s="437"/>
      <c r="G329" s="437" t="s">
        <v>421</v>
      </c>
      <c r="H329" s="437"/>
      <c r="I329" s="437"/>
      <c r="J329" s="437"/>
      <c r="K329" s="437"/>
      <c r="L329" s="437"/>
      <c r="M329" s="439">
        <f>H176</f>
        <v>2.4E-2</v>
      </c>
      <c r="N329" s="439"/>
      <c r="O329" s="439"/>
      <c r="P329" s="439"/>
      <c r="Q329" s="439"/>
      <c r="R329" s="439"/>
      <c r="S329" s="437" t="s">
        <v>7</v>
      </c>
      <c r="T329" s="437"/>
      <c r="U329" s="437"/>
      <c r="V329" s="437"/>
      <c r="W329" s="437"/>
      <c r="X329" s="438"/>
    </row>
    <row r="330" spans="1:35" s="16" customFormat="1" ht="18" customHeight="1">
      <c r="B330" s="443"/>
      <c r="C330" s="437"/>
      <c r="D330" s="437"/>
      <c r="E330" s="437"/>
      <c r="F330" s="437"/>
      <c r="G330" s="437" t="s">
        <v>422</v>
      </c>
      <c r="H330" s="437"/>
      <c r="I330" s="437"/>
      <c r="J330" s="437"/>
      <c r="K330" s="437"/>
      <c r="L330" s="437"/>
      <c r="M330" s="439">
        <f>P193</f>
        <v>0</v>
      </c>
      <c r="N330" s="439"/>
      <c r="O330" s="439"/>
      <c r="P330" s="439"/>
      <c r="Q330" s="439"/>
      <c r="R330" s="439"/>
      <c r="S330" s="437" t="s">
        <v>7</v>
      </c>
      <c r="T330" s="437"/>
      <c r="U330" s="437"/>
      <c r="V330" s="437"/>
      <c r="W330" s="437"/>
      <c r="X330" s="438"/>
    </row>
    <row r="331" spans="1:35" s="16" customFormat="1" ht="18" customHeight="1">
      <c r="B331" s="443" t="s">
        <v>510</v>
      </c>
      <c r="C331" s="437"/>
      <c r="D331" s="437"/>
      <c r="E331" s="437"/>
      <c r="F331" s="437"/>
      <c r="G331" s="437" t="s">
        <v>13</v>
      </c>
      <c r="H331" s="437"/>
      <c r="I331" s="437"/>
      <c r="J331" s="437"/>
      <c r="K331" s="437"/>
      <c r="L331" s="437"/>
      <c r="M331" s="439">
        <f>K307</f>
        <v>1.7609984406588119E-2</v>
      </c>
      <c r="N331" s="439"/>
      <c r="O331" s="439"/>
      <c r="P331" s="439"/>
      <c r="Q331" s="439"/>
      <c r="R331" s="439"/>
      <c r="S331" s="437" t="s">
        <v>7</v>
      </c>
      <c r="T331" s="437"/>
      <c r="U331" s="437"/>
      <c r="V331" s="437"/>
      <c r="W331" s="437"/>
      <c r="X331" s="438"/>
    </row>
    <row r="332" spans="1:35" s="16" customFormat="1" ht="18" customHeight="1">
      <c r="B332" s="450" t="s">
        <v>529</v>
      </c>
      <c r="C332" s="451"/>
      <c r="D332" s="451"/>
      <c r="E332" s="451"/>
      <c r="F332" s="451"/>
      <c r="G332" s="451"/>
      <c r="H332" s="451"/>
      <c r="I332" s="451"/>
      <c r="J332" s="451"/>
      <c r="K332" s="451"/>
      <c r="L332" s="452"/>
      <c r="M332" s="453">
        <f>SUM(M327:R331)</f>
        <v>5.6959412978016689E-2</v>
      </c>
      <c r="N332" s="453"/>
      <c r="O332" s="453"/>
      <c r="P332" s="453"/>
      <c r="Q332" s="453"/>
      <c r="R332" s="453"/>
      <c r="S332" s="454" t="str">
        <f>IF(M332&lt;=$N$323,"O.K","N.G")</f>
        <v>O.K</v>
      </c>
      <c r="T332" s="454"/>
      <c r="U332" s="454"/>
      <c r="V332" s="454"/>
      <c r="W332" s="454"/>
      <c r="X332" s="455"/>
    </row>
    <row r="333" spans="1:35" s="16" customFormat="1" ht="18" customHeight="1">
      <c r="B333" s="444" t="s">
        <v>530</v>
      </c>
      <c r="C333" s="445"/>
      <c r="D333" s="445"/>
      <c r="E333" s="445"/>
      <c r="F333" s="445"/>
      <c r="G333" s="445"/>
      <c r="H333" s="445"/>
      <c r="I333" s="445"/>
      <c r="J333" s="445"/>
      <c r="K333" s="445"/>
      <c r="L333" s="446"/>
      <c r="M333" s="447">
        <f>N323</f>
        <v>0.36799999999999999</v>
      </c>
      <c r="N333" s="447"/>
      <c r="O333" s="447"/>
      <c r="P333" s="447"/>
      <c r="Q333" s="447"/>
      <c r="R333" s="447"/>
      <c r="S333" s="448" t="s">
        <v>7</v>
      </c>
      <c r="T333" s="448"/>
      <c r="U333" s="448"/>
      <c r="V333" s="448"/>
      <c r="W333" s="448"/>
      <c r="X333" s="449"/>
    </row>
    <row r="334" spans="1:35" s="16" customFormat="1" ht="12.95" customHeight="1">
      <c r="B334" s="156"/>
      <c r="C334" s="156"/>
      <c r="D334" s="156"/>
      <c r="E334" s="15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</row>
    <row r="335" spans="1:35" s="16" customFormat="1" ht="12.95" customHeight="1">
      <c r="B335" s="156"/>
      <c r="C335" s="156"/>
      <c r="D335" s="156"/>
      <c r="E335" s="15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</row>
    <row r="336" spans="1:35">
      <c r="A336" s="5" t="s">
        <v>435</v>
      </c>
    </row>
  </sheetData>
  <mergeCells count="683">
    <mergeCell ref="B333:L333"/>
    <mergeCell ref="M333:R333"/>
    <mergeCell ref="S333:X333"/>
    <mergeCell ref="B331:F331"/>
    <mergeCell ref="G331:L331"/>
    <mergeCell ref="M331:R331"/>
    <mergeCell ref="S331:X331"/>
    <mergeCell ref="B332:L332"/>
    <mergeCell ref="M332:R332"/>
    <mergeCell ref="S332:X332"/>
    <mergeCell ref="S328:X328"/>
    <mergeCell ref="G329:L329"/>
    <mergeCell ref="M329:R329"/>
    <mergeCell ref="S329:X329"/>
    <mergeCell ref="G330:L330"/>
    <mergeCell ref="M330:R330"/>
    <mergeCell ref="S330:X330"/>
    <mergeCell ref="N323:Q323"/>
    <mergeCell ref="B326:L326"/>
    <mergeCell ref="M326:R326"/>
    <mergeCell ref="S326:X326"/>
    <mergeCell ref="B327:F330"/>
    <mergeCell ref="G327:L327"/>
    <mergeCell ref="M327:R327"/>
    <mergeCell ref="S327:X327"/>
    <mergeCell ref="G328:L328"/>
    <mergeCell ref="M328:R328"/>
    <mergeCell ref="N318:Q318"/>
    <mergeCell ref="N319:Q319"/>
    <mergeCell ref="N320:Q320"/>
    <mergeCell ref="N321:Q321"/>
    <mergeCell ref="AD321:AE321"/>
    <mergeCell ref="N322:Q322"/>
    <mergeCell ref="N315:Q315"/>
    <mergeCell ref="AD315:AE315"/>
    <mergeCell ref="N316:Q316"/>
    <mergeCell ref="AD316:AE316"/>
    <mergeCell ref="N317:Q317"/>
    <mergeCell ref="AD317:AE317"/>
    <mergeCell ref="E305:I305"/>
    <mergeCell ref="E306:I306"/>
    <mergeCell ref="E307:I307"/>
    <mergeCell ref="K307:M307"/>
    <mergeCell ref="AD313:AE313"/>
    <mergeCell ref="N314:Q314"/>
    <mergeCell ref="AD314:AE314"/>
    <mergeCell ref="I300:L300"/>
    <mergeCell ref="N300:P300"/>
    <mergeCell ref="I301:L301"/>
    <mergeCell ref="N301:P301"/>
    <mergeCell ref="R301:T301"/>
    <mergeCell ref="D303:F303"/>
    <mergeCell ref="H303:I303"/>
    <mergeCell ref="L303:N303"/>
    <mergeCell ref="I298:L298"/>
    <mergeCell ref="N298:P298"/>
    <mergeCell ref="I299:L299"/>
    <mergeCell ref="N299:P299"/>
    <mergeCell ref="R299:T299"/>
    <mergeCell ref="V299:X299"/>
    <mergeCell ref="R295:T295"/>
    <mergeCell ref="V295:X295"/>
    <mergeCell ref="I297:L297"/>
    <mergeCell ref="N297:P297"/>
    <mergeCell ref="R297:T297"/>
    <mergeCell ref="V297:X297"/>
    <mergeCell ref="I294:J294"/>
    <mergeCell ref="N294:P294"/>
    <mergeCell ref="D295:E295"/>
    <mergeCell ref="G295:H295"/>
    <mergeCell ref="J295:L295"/>
    <mergeCell ref="N295:P295"/>
    <mergeCell ref="D288:G288"/>
    <mergeCell ref="D289:G289"/>
    <mergeCell ref="D290:E290"/>
    <mergeCell ref="G290:H290"/>
    <mergeCell ref="J290:L290"/>
    <mergeCell ref="D291:E291"/>
    <mergeCell ref="G291:H291"/>
    <mergeCell ref="J291:L291"/>
    <mergeCell ref="S284:U284"/>
    <mergeCell ref="M285:P285"/>
    <mergeCell ref="I286:J286"/>
    <mergeCell ref="P286:R286"/>
    <mergeCell ref="T286:V286"/>
    <mergeCell ref="D287:G287"/>
    <mergeCell ref="D279:F279"/>
    <mergeCell ref="D280:F280"/>
    <mergeCell ref="I283:J283"/>
    <mergeCell ref="L283:N283"/>
    <mergeCell ref="P283:Q283"/>
    <mergeCell ref="I284:J284"/>
    <mergeCell ref="L284:N284"/>
    <mergeCell ref="P284:Q284"/>
    <mergeCell ref="V275:W275"/>
    <mergeCell ref="D276:F276"/>
    <mergeCell ref="D277:F277"/>
    <mergeCell ref="D278:E278"/>
    <mergeCell ref="M278:N278"/>
    <mergeCell ref="P278:Q278"/>
    <mergeCell ref="S278:T278"/>
    <mergeCell ref="V278:W278"/>
    <mergeCell ref="R271:U271"/>
    <mergeCell ref="D272:E272"/>
    <mergeCell ref="I272:K272"/>
    <mergeCell ref="M272:P272"/>
    <mergeCell ref="R272:U272"/>
    <mergeCell ref="D275:E275"/>
    <mergeCell ref="M275:N275"/>
    <mergeCell ref="P275:Q275"/>
    <mergeCell ref="S275:T275"/>
    <mergeCell ref="D265:G265"/>
    <mergeCell ref="F268:G268"/>
    <mergeCell ref="I268:J268"/>
    <mergeCell ref="L268:N268"/>
    <mergeCell ref="P268:S268"/>
    <mergeCell ref="F269:G269"/>
    <mergeCell ref="I269:J269"/>
    <mergeCell ref="L269:N269"/>
    <mergeCell ref="P269:S269"/>
    <mergeCell ref="B256:F256"/>
    <mergeCell ref="G256:Q256"/>
    <mergeCell ref="R256:U256"/>
    <mergeCell ref="V256:Y256"/>
    <mergeCell ref="D264:E264"/>
    <mergeCell ref="I264:J264"/>
    <mergeCell ref="L264:M264"/>
    <mergeCell ref="O264:P264"/>
    <mergeCell ref="S264:T264"/>
    <mergeCell ref="X264:Y264"/>
    <mergeCell ref="B254:F254"/>
    <mergeCell ref="G254:Q254"/>
    <mergeCell ref="R254:U254"/>
    <mergeCell ref="V254:Y254"/>
    <mergeCell ref="B255:F255"/>
    <mergeCell ref="G255:Q255"/>
    <mergeCell ref="R255:U255"/>
    <mergeCell ref="V255:Y255"/>
    <mergeCell ref="R248:S248"/>
    <mergeCell ref="R249:S249"/>
    <mergeCell ref="R250:S250"/>
    <mergeCell ref="B252:Q253"/>
    <mergeCell ref="R252:Y252"/>
    <mergeCell ref="R253:U253"/>
    <mergeCell ref="V253:Y253"/>
    <mergeCell ref="B224:E224"/>
    <mergeCell ref="F224:I224"/>
    <mergeCell ref="J224:R224"/>
    <mergeCell ref="S224:Y224"/>
    <mergeCell ref="B225:E225"/>
    <mergeCell ref="F225:I225"/>
    <mergeCell ref="J225:R225"/>
    <mergeCell ref="S225:Y225"/>
    <mergeCell ref="P221:P222"/>
    <mergeCell ref="Q221:R221"/>
    <mergeCell ref="T221:T222"/>
    <mergeCell ref="U221:V221"/>
    <mergeCell ref="W221:W222"/>
    <mergeCell ref="X221:Y221"/>
    <mergeCell ref="U222:V222"/>
    <mergeCell ref="B220:E223"/>
    <mergeCell ref="J220:L220"/>
    <mergeCell ref="F221:I221"/>
    <mergeCell ref="J221:L222"/>
    <mergeCell ref="M221:M222"/>
    <mergeCell ref="N221:O221"/>
    <mergeCell ref="F222:I222"/>
    <mergeCell ref="N222:O222"/>
    <mergeCell ref="J223:R223"/>
    <mergeCell ref="G215:H215"/>
    <mergeCell ref="G216:H216"/>
    <mergeCell ref="B219:E219"/>
    <mergeCell ref="F219:I219"/>
    <mergeCell ref="J219:R219"/>
    <mergeCell ref="S219:Y219"/>
    <mergeCell ref="U210:Y210"/>
    <mergeCell ref="B211:E211"/>
    <mergeCell ref="F211:J211"/>
    <mergeCell ref="K211:O211"/>
    <mergeCell ref="P211:T211"/>
    <mergeCell ref="U211:Y211"/>
    <mergeCell ref="B206:F206"/>
    <mergeCell ref="G206:K206"/>
    <mergeCell ref="L206:P206"/>
    <mergeCell ref="Q206:U206"/>
    <mergeCell ref="V206:Y206"/>
    <mergeCell ref="B209:E210"/>
    <mergeCell ref="F209:J210"/>
    <mergeCell ref="K209:Y209"/>
    <mergeCell ref="K210:O210"/>
    <mergeCell ref="P210:T210"/>
    <mergeCell ref="R203:S203"/>
    <mergeCell ref="B205:F205"/>
    <mergeCell ref="G205:K205"/>
    <mergeCell ref="L205:P205"/>
    <mergeCell ref="Q205:U205"/>
    <mergeCell ref="V205:Y205"/>
    <mergeCell ref="D193:F193"/>
    <mergeCell ref="H193:J193"/>
    <mergeCell ref="L193:N193"/>
    <mergeCell ref="P193:R193"/>
    <mergeCell ref="R201:S201"/>
    <mergeCell ref="R202:S202"/>
    <mergeCell ref="Q188:Q189"/>
    <mergeCell ref="R188:R189"/>
    <mergeCell ref="S188:U189"/>
    <mergeCell ref="V188:W189"/>
    <mergeCell ref="F189:G189"/>
    <mergeCell ref="D191:G191"/>
    <mergeCell ref="I191:K191"/>
    <mergeCell ref="B188:B189"/>
    <mergeCell ref="C188:C189"/>
    <mergeCell ref="D188:E189"/>
    <mergeCell ref="F188:G188"/>
    <mergeCell ref="H188:H189"/>
    <mergeCell ref="I188:P189"/>
    <mergeCell ref="K186:L187"/>
    <mergeCell ref="M186:N186"/>
    <mergeCell ref="R186:R187"/>
    <mergeCell ref="S186:U187"/>
    <mergeCell ref="V186:W187"/>
    <mergeCell ref="D187:F187"/>
    <mergeCell ref="M187:N187"/>
    <mergeCell ref="B186:B187"/>
    <mergeCell ref="C186:C187"/>
    <mergeCell ref="D186:F186"/>
    <mergeCell ref="G186:G187"/>
    <mergeCell ref="H186:I187"/>
    <mergeCell ref="J186:J187"/>
    <mergeCell ref="I181:K181"/>
    <mergeCell ref="U181:W181"/>
    <mergeCell ref="F183:H183"/>
    <mergeCell ref="M183:O183"/>
    <mergeCell ref="M184:O184"/>
    <mergeCell ref="D185:F185"/>
    <mergeCell ref="H185:J185"/>
    <mergeCell ref="M185:O185"/>
    <mergeCell ref="D176:F176"/>
    <mergeCell ref="H176:J176"/>
    <mergeCell ref="I179:K179"/>
    <mergeCell ref="U179:W179"/>
    <mergeCell ref="I180:K180"/>
    <mergeCell ref="U180:W180"/>
    <mergeCell ref="H173:J173"/>
    <mergeCell ref="D175:E175"/>
    <mergeCell ref="G175:H175"/>
    <mergeCell ref="J175:L175"/>
    <mergeCell ref="N175:O175"/>
    <mergeCell ref="T175:U175"/>
    <mergeCell ref="O168:Q169"/>
    <mergeCell ref="R168:R169"/>
    <mergeCell ref="S168:U169"/>
    <mergeCell ref="V168:V169"/>
    <mergeCell ref="D169:H169"/>
    <mergeCell ref="H172:I172"/>
    <mergeCell ref="M164:N164"/>
    <mergeCell ref="D165:F165"/>
    <mergeCell ref="B168:B169"/>
    <mergeCell ref="C168:C169"/>
    <mergeCell ref="D168:E168"/>
    <mergeCell ref="G168:H168"/>
    <mergeCell ref="I168:I169"/>
    <mergeCell ref="J168:J169"/>
    <mergeCell ref="N168:N169"/>
    <mergeCell ref="H159:J159"/>
    <mergeCell ref="U159:W159"/>
    <mergeCell ref="H160:J160"/>
    <mergeCell ref="U160:W160"/>
    <mergeCell ref="H161:J161"/>
    <mergeCell ref="U161:W161"/>
    <mergeCell ref="N154:O154"/>
    <mergeCell ref="R154:S154"/>
    <mergeCell ref="U154:W154"/>
    <mergeCell ref="D155:F155"/>
    <mergeCell ref="H158:J158"/>
    <mergeCell ref="U158:W158"/>
    <mergeCell ref="B152:B153"/>
    <mergeCell ref="C152:C153"/>
    <mergeCell ref="J152:J153"/>
    <mergeCell ref="K152:K153"/>
    <mergeCell ref="D153:I153"/>
    <mergeCell ref="D154:E154"/>
    <mergeCell ref="G154:H154"/>
    <mergeCell ref="K154:L154"/>
    <mergeCell ref="H145:J145"/>
    <mergeCell ref="H146:J146"/>
    <mergeCell ref="H147:J147"/>
    <mergeCell ref="H148:J148"/>
    <mergeCell ref="M148:O148"/>
    <mergeCell ref="H149:K149"/>
    <mergeCell ref="R136:S136"/>
    <mergeCell ref="L137:M137"/>
    <mergeCell ref="O137:P137"/>
    <mergeCell ref="R137:S137"/>
    <mergeCell ref="R140:S140"/>
    <mergeCell ref="L141:M141"/>
    <mergeCell ref="O141:P141"/>
    <mergeCell ref="R141:S141"/>
    <mergeCell ref="U131:W131"/>
    <mergeCell ref="X131:Y131"/>
    <mergeCell ref="B132:E132"/>
    <mergeCell ref="F132:H132"/>
    <mergeCell ref="I132:K132"/>
    <mergeCell ref="L132:N132"/>
    <mergeCell ref="O132:Q132"/>
    <mergeCell ref="R132:T132"/>
    <mergeCell ref="U132:W132"/>
    <mergeCell ref="X132:Y132"/>
    <mergeCell ref="B131:E131"/>
    <mergeCell ref="F131:H131"/>
    <mergeCell ref="I131:K131"/>
    <mergeCell ref="L131:N131"/>
    <mergeCell ref="O131:Q131"/>
    <mergeCell ref="R131:T131"/>
    <mergeCell ref="B129:E129"/>
    <mergeCell ref="F129:H129"/>
    <mergeCell ref="I129:K129"/>
    <mergeCell ref="L129:N129"/>
    <mergeCell ref="O129:Q129"/>
    <mergeCell ref="R129:T129"/>
    <mergeCell ref="U129:W129"/>
    <mergeCell ref="X129:Y129"/>
    <mergeCell ref="B130:E130"/>
    <mergeCell ref="F130:H130"/>
    <mergeCell ref="I130:K130"/>
    <mergeCell ref="L130:N130"/>
    <mergeCell ref="O130:Q130"/>
    <mergeCell ref="R130:T130"/>
    <mergeCell ref="U130:W130"/>
    <mergeCell ref="X130:Y130"/>
    <mergeCell ref="B127:E128"/>
    <mergeCell ref="F127:N127"/>
    <mergeCell ref="O127:W127"/>
    <mergeCell ref="X127:Y128"/>
    <mergeCell ref="F128:H128"/>
    <mergeCell ref="I128:K128"/>
    <mergeCell ref="L128:N128"/>
    <mergeCell ref="O128:Q128"/>
    <mergeCell ref="Q124:R125"/>
    <mergeCell ref="S124:S125"/>
    <mergeCell ref="T124:U125"/>
    <mergeCell ref="V124:V125"/>
    <mergeCell ref="W124:W125"/>
    <mergeCell ref="X124:Y125"/>
    <mergeCell ref="R128:T128"/>
    <mergeCell ref="U128:W128"/>
    <mergeCell ref="D124:D125"/>
    <mergeCell ref="E124:F125"/>
    <mergeCell ref="G124:G125"/>
    <mergeCell ref="I124:J124"/>
    <mergeCell ref="L124:M124"/>
    <mergeCell ref="O124:O125"/>
    <mergeCell ref="P124:P125"/>
    <mergeCell ref="P121:P122"/>
    <mergeCell ref="Q121:R122"/>
    <mergeCell ref="I125:J125"/>
    <mergeCell ref="L125:M125"/>
    <mergeCell ref="I116:J116"/>
    <mergeCell ref="Q119:R119"/>
    <mergeCell ref="T119:U119"/>
    <mergeCell ref="W119:X119"/>
    <mergeCell ref="D121:D122"/>
    <mergeCell ref="E121:F122"/>
    <mergeCell ref="G121:G122"/>
    <mergeCell ref="I121:J121"/>
    <mergeCell ref="L121:M121"/>
    <mergeCell ref="O121:O122"/>
    <mergeCell ref="X121:Y122"/>
    <mergeCell ref="I122:J122"/>
    <mergeCell ref="L122:M122"/>
    <mergeCell ref="S121:S122"/>
    <mergeCell ref="T121:U122"/>
    <mergeCell ref="V121:V122"/>
    <mergeCell ref="W121:W122"/>
    <mergeCell ref="B108:E108"/>
    <mergeCell ref="F108:Y108"/>
    <mergeCell ref="Q114:R114"/>
    <mergeCell ref="T114:U114"/>
    <mergeCell ref="W114:X114"/>
    <mergeCell ref="I115:J115"/>
    <mergeCell ref="B106:E106"/>
    <mergeCell ref="F106:L106"/>
    <mergeCell ref="M106:R107"/>
    <mergeCell ref="S106:Y106"/>
    <mergeCell ref="B107:E107"/>
    <mergeCell ref="F107:L107"/>
    <mergeCell ref="S107:Y107"/>
    <mergeCell ref="B104:E104"/>
    <mergeCell ref="F104:L104"/>
    <mergeCell ref="M104:R105"/>
    <mergeCell ref="S104:Y104"/>
    <mergeCell ref="B105:E105"/>
    <mergeCell ref="F105:L105"/>
    <mergeCell ref="S105:Y105"/>
    <mergeCell ref="B101:E102"/>
    <mergeCell ref="F101:L102"/>
    <mergeCell ref="M101:Y101"/>
    <mergeCell ref="M102:R102"/>
    <mergeCell ref="S102:Y102"/>
    <mergeCell ref="B103:E103"/>
    <mergeCell ref="F103:L103"/>
    <mergeCell ref="M103:R103"/>
    <mergeCell ref="S103:Y103"/>
    <mergeCell ref="B97:E97"/>
    <mergeCell ref="F97:I97"/>
    <mergeCell ref="J97:M97"/>
    <mergeCell ref="N97:Q97"/>
    <mergeCell ref="R97:U97"/>
    <mergeCell ref="V97:Y97"/>
    <mergeCell ref="B96:E96"/>
    <mergeCell ref="F96:I96"/>
    <mergeCell ref="J96:M96"/>
    <mergeCell ref="N96:Q96"/>
    <mergeCell ref="R96:U96"/>
    <mergeCell ref="V96:Y96"/>
    <mergeCell ref="B95:E95"/>
    <mergeCell ref="F95:I95"/>
    <mergeCell ref="J95:M95"/>
    <mergeCell ref="N95:Q95"/>
    <mergeCell ref="R95:U95"/>
    <mergeCell ref="V95:Y95"/>
    <mergeCell ref="B94:E94"/>
    <mergeCell ref="F94:I94"/>
    <mergeCell ref="J94:M94"/>
    <mergeCell ref="N94:Q94"/>
    <mergeCell ref="R94:U94"/>
    <mergeCell ref="V94:Y94"/>
    <mergeCell ref="B93:E93"/>
    <mergeCell ref="F93:I93"/>
    <mergeCell ref="J93:M93"/>
    <mergeCell ref="N93:Q93"/>
    <mergeCell ref="R93:U93"/>
    <mergeCell ref="V93:Y93"/>
    <mergeCell ref="B92:E92"/>
    <mergeCell ref="F92:I92"/>
    <mergeCell ref="J92:M92"/>
    <mergeCell ref="N92:Q92"/>
    <mergeCell ref="R92:U92"/>
    <mergeCell ref="V92:Y92"/>
    <mergeCell ref="V89:Y90"/>
    <mergeCell ref="B91:E91"/>
    <mergeCell ref="F91:I91"/>
    <mergeCell ref="J91:M91"/>
    <mergeCell ref="N91:Q91"/>
    <mergeCell ref="R91:U91"/>
    <mergeCell ref="V91:Y91"/>
    <mergeCell ref="P88:R88"/>
    <mergeCell ref="B89:E90"/>
    <mergeCell ref="F89:I90"/>
    <mergeCell ref="J89:M90"/>
    <mergeCell ref="N89:Q90"/>
    <mergeCell ref="R89:U90"/>
    <mergeCell ref="B84:E84"/>
    <mergeCell ref="F84:I84"/>
    <mergeCell ref="J84:M84"/>
    <mergeCell ref="N84:Q84"/>
    <mergeCell ref="R84:U84"/>
    <mergeCell ref="V84:Y84"/>
    <mergeCell ref="B83:E83"/>
    <mergeCell ref="F83:I83"/>
    <mergeCell ref="J83:M83"/>
    <mergeCell ref="N83:Q83"/>
    <mergeCell ref="R83:U83"/>
    <mergeCell ref="V83:Y83"/>
    <mergeCell ref="B82:E82"/>
    <mergeCell ref="F82:I82"/>
    <mergeCell ref="J82:M82"/>
    <mergeCell ref="N82:Q82"/>
    <mergeCell ref="R82:U82"/>
    <mergeCell ref="V82:Y82"/>
    <mergeCell ref="B81:E81"/>
    <mergeCell ref="F81:I81"/>
    <mergeCell ref="J81:M81"/>
    <mergeCell ref="N81:Q81"/>
    <mergeCell ref="R81:U81"/>
    <mergeCell ref="V81:Y81"/>
    <mergeCell ref="AB76:AB77"/>
    <mergeCell ref="AC76:AC77"/>
    <mergeCell ref="AD76:AD77"/>
    <mergeCell ref="B78:E78"/>
    <mergeCell ref="F78:I78"/>
    <mergeCell ref="J78:M78"/>
    <mergeCell ref="N78:Q78"/>
    <mergeCell ref="R78:U78"/>
    <mergeCell ref="B80:E80"/>
    <mergeCell ref="F80:I80"/>
    <mergeCell ref="J80:M80"/>
    <mergeCell ref="N80:Q80"/>
    <mergeCell ref="R80:U80"/>
    <mergeCell ref="V80:Y80"/>
    <mergeCell ref="V78:Y78"/>
    <mergeCell ref="B79:E79"/>
    <mergeCell ref="F79:I79"/>
    <mergeCell ref="J79:M79"/>
    <mergeCell ref="N79:Q79"/>
    <mergeCell ref="R79:U79"/>
    <mergeCell ref="V79:Y79"/>
    <mergeCell ref="K74:M74"/>
    <mergeCell ref="K75:M75"/>
    <mergeCell ref="B76:E77"/>
    <mergeCell ref="F76:I77"/>
    <mergeCell ref="J76:M77"/>
    <mergeCell ref="N76:Q77"/>
    <mergeCell ref="T70:V70"/>
    <mergeCell ref="W70:Y70"/>
    <mergeCell ref="B71:D71"/>
    <mergeCell ref="E71:G71"/>
    <mergeCell ref="H71:J71"/>
    <mergeCell ref="K71:M71"/>
    <mergeCell ref="N71:P71"/>
    <mergeCell ref="Q71:S71"/>
    <mergeCell ref="T71:V71"/>
    <mergeCell ref="W71:Y71"/>
    <mergeCell ref="B70:D70"/>
    <mergeCell ref="E70:G70"/>
    <mergeCell ref="H70:J70"/>
    <mergeCell ref="K70:M70"/>
    <mergeCell ref="N70:P70"/>
    <mergeCell ref="Q70:S70"/>
    <mergeCell ref="R76:U77"/>
    <mergeCell ref="V76:Y77"/>
    <mergeCell ref="B62:F65"/>
    <mergeCell ref="G62:S65"/>
    <mergeCell ref="T62:V65"/>
    <mergeCell ref="W62:Y65"/>
    <mergeCell ref="B66:F67"/>
    <mergeCell ref="G66:S67"/>
    <mergeCell ref="T66:V67"/>
    <mergeCell ref="W66:Y67"/>
    <mergeCell ref="B56:D57"/>
    <mergeCell ref="E56:F57"/>
    <mergeCell ref="G56:S57"/>
    <mergeCell ref="T56:Y57"/>
    <mergeCell ref="B60:F61"/>
    <mergeCell ref="G60:S61"/>
    <mergeCell ref="T60:Y60"/>
    <mergeCell ref="T61:V61"/>
    <mergeCell ref="W61:Y61"/>
    <mergeCell ref="B51:D51"/>
    <mergeCell ref="E51:S51"/>
    <mergeCell ref="T51:Y51"/>
    <mergeCell ref="B52:D55"/>
    <mergeCell ref="E52:F53"/>
    <mergeCell ref="G52:S53"/>
    <mergeCell ref="T52:Y55"/>
    <mergeCell ref="E54:F55"/>
    <mergeCell ref="G54:S55"/>
    <mergeCell ref="AE39:AH39"/>
    <mergeCell ref="B40:E40"/>
    <mergeCell ref="F40:H40"/>
    <mergeCell ref="L40:N40"/>
    <mergeCell ref="O40:R40"/>
    <mergeCell ref="S40:U40"/>
    <mergeCell ref="V40:X40"/>
    <mergeCell ref="B39:E39"/>
    <mergeCell ref="F39:H39"/>
    <mergeCell ref="L39:N39"/>
    <mergeCell ref="O39:R39"/>
    <mergeCell ref="S39:U39"/>
    <mergeCell ref="V39:X39"/>
    <mergeCell ref="AE37:AH37"/>
    <mergeCell ref="B38:E38"/>
    <mergeCell ref="F38:H38"/>
    <mergeCell ref="L38:N38"/>
    <mergeCell ref="O38:R38"/>
    <mergeCell ref="S38:U38"/>
    <mergeCell ref="V38:X38"/>
    <mergeCell ref="B37:E37"/>
    <mergeCell ref="F37:H37"/>
    <mergeCell ref="L37:N37"/>
    <mergeCell ref="O37:R37"/>
    <mergeCell ref="S37:U37"/>
    <mergeCell ref="V37:X37"/>
    <mergeCell ref="AE35:AH35"/>
    <mergeCell ref="B36:E36"/>
    <mergeCell ref="F36:H36"/>
    <mergeCell ref="L36:N36"/>
    <mergeCell ref="O36:R36"/>
    <mergeCell ref="S36:U36"/>
    <mergeCell ref="V36:X36"/>
    <mergeCell ref="B35:E35"/>
    <mergeCell ref="F35:H35"/>
    <mergeCell ref="L35:N35"/>
    <mergeCell ref="O35:R35"/>
    <mergeCell ref="S35:U35"/>
    <mergeCell ref="V35:X35"/>
    <mergeCell ref="AE33:AH33"/>
    <mergeCell ref="B34:E34"/>
    <mergeCell ref="F34:H34"/>
    <mergeCell ref="L34:N34"/>
    <mergeCell ref="O34:R34"/>
    <mergeCell ref="S34:U34"/>
    <mergeCell ref="V34:X34"/>
    <mergeCell ref="B33:E33"/>
    <mergeCell ref="F33:H33"/>
    <mergeCell ref="L33:N33"/>
    <mergeCell ref="O33:R33"/>
    <mergeCell ref="S33:U33"/>
    <mergeCell ref="V33:X33"/>
    <mergeCell ref="B32:E32"/>
    <mergeCell ref="F32:H32"/>
    <mergeCell ref="L32:N32"/>
    <mergeCell ref="O32:R32"/>
    <mergeCell ref="S32:U32"/>
    <mergeCell ref="V32:X32"/>
    <mergeCell ref="AE30:AH30"/>
    <mergeCell ref="B31:E31"/>
    <mergeCell ref="F31:H31"/>
    <mergeCell ref="L31:N31"/>
    <mergeCell ref="O31:R31"/>
    <mergeCell ref="S31:U31"/>
    <mergeCell ref="V31:X31"/>
    <mergeCell ref="AE31:AH31"/>
    <mergeCell ref="B30:E30"/>
    <mergeCell ref="F30:H30"/>
    <mergeCell ref="L30:N30"/>
    <mergeCell ref="O30:R30"/>
    <mergeCell ref="S30:U30"/>
    <mergeCell ref="V30:X30"/>
    <mergeCell ref="AE28:AH28"/>
    <mergeCell ref="B29:E29"/>
    <mergeCell ref="F29:H29"/>
    <mergeCell ref="L29:N29"/>
    <mergeCell ref="O29:R29"/>
    <mergeCell ref="S29:U29"/>
    <mergeCell ref="V29:X29"/>
    <mergeCell ref="B28:E28"/>
    <mergeCell ref="F28:H28"/>
    <mergeCell ref="L28:N28"/>
    <mergeCell ref="O28:R28"/>
    <mergeCell ref="S28:U28"/>
    <mergeCell ref="V28:X28"/>
    <mergeCell ref="AE26:AH26"/>
    <mergeCell ref="B27:E27"/>
    <mergeCell ref="F27:H27"/>
    <mergeCell ref="L27:N27"/>
    <mergeCell ref="O27:R27"/>
    <mergeCell ref="S27:U27"/>
    <mergeCell ref="V27:X27"/>
    <mergeCell ref="B26:E26"/>
    <mergeCell ref="F26:H26"/>
    <mergeCell ref="L26:N26"/>
    <mergeCell ref="O26:R26"/>
    <mergeCell ref="S26:U26"/>
    <mergeCell ref="V26:X26"/>
    <mergeCell ref="B25:E25"/>
    <mergeCell ref="F25:H25"/>
    <mergeCell ref="L25:N25"/>
    <mergeCell ref="O25:R25"/>
    <mergeCell ref="S25:U25"/>
    <mergeCell ref="V25:X25"/>
    <mergeCell ref="V24:X24"/>
    <mergeCell ref="B24:E24"/>
    <mergeCell ref="F24:H24"/>
    <mergeCell ref="I24:K24"/>
    <mergeCell ref="L24:N24"/>
    <mergeCell ref="O24:R24"/>
    <mergeCell ref="S24:U24"/>
    <mergeCell ref="K15:N15"/>
    <mergeCell ref="R15:U15"/>
    <mergeCell ref="K16:N16"/>
    <mergeCell ref="R16:U16"/>
    <mergeCell ref="K17:N17"/>
    <mergeCell ref="R17:U17"/>
    <mergeCell ref="K12:N12"/>
    <mergeCell ref="R12:V12"/>
    <mergeCell ref="K13:N13"/>
    <mergeCell ref="R13:U13"/>
    <mergeCell ref="K14:N14"/>
    <mergeCell ref="R14:U14"/>
    <mergeCell ref="K7:N7"/>
    <mergeCell ref="K8:N8"/>
    <mergeCell ref="K9:N9"/>
    <mergeCell ref="P9:Q9"/>
    <mergeCell ref="R9:U9"/>
    <mergeCell ref="K10:N10"/>
    <mergeCell ref="U10:X10"/>
    <mergeCell ref="K4:N4"/>
    <mergeCell ref="R4:V4"/>
    <mergeCell ref="K5:N5"/>
    <mergeCell ref="P5:Q5"/>
    <mergeCell ref="V5:Y5"/>
    <mergeCell ref="K6:N6"/>
  </mergeCells>
  <phoneticPr fontId="1" type="noConversion"/>
  <conditionalFormatting sqref="B103:L103">
    <cfRule type="expression" dxfId="9" priority="1">
      <formula>$AC$102=1</formula>
    </cfRule>
  </conditionalFormatting>
  <conditionalFormatting sqref="B104:L104 B129:W129">
    <cfRule type="expression" dxfId="8" priority="2">
      <formula>$AC$102=2</formula>
    </cfRule>
  </conditionalFormatting>
  <conditionalFormatting sqref="B105:L105 B130:W130">
    <cfRule type="expression" dxfId="7" priority="3">
      <formula>$AC$102=3</formula>
    </cfRule>
  </conditionalFormatting>
  <conditionalFormatting sqref="B106:L106 B131:W131">
    <cfRule type="expression" dxfId="6" priority="4">
      <formula>$AC$102=4</formula>
    </cfRule>
  </conditionalFormatting>
  <conditionalFormatting sqref="B107:L107 B132:W132">
    <cfRule type="expression" dxfId="5" priority="5">
      <formula>$AC$102=5</formula>
    </cfRule>
  </conditionalFormatting>
  <dataValidations disablePrompts="1" count="1">
    <dataValidation type="list" allowBlank="1" showInputMessage="1" showErrorMessage="1" sqref="K9:N9">
      <formula1>"없음, DB-24, DB-18,DB-13.5"</formula1>
    </dataValidation>
  </dataValidations>
  <printOptions horizontalCentered="1"/>
  <pageMargins left="0.70866141732283472" right="0.70866141732283472" top="0.59055118110236227" bottom="0.59055118110236227" header="0.31496062992125984" footer="0.31496062992125984"/>
  <pageSetup paperSize="9" fitToHeight="0" orientation="portrait" r:id="rId1"/>
  <rowBreaks count="5" manualBreakCount="5">
    <brk id="58" max="25" man="1"/>
    <brk id="111" max="25" man="1"/>
    <brk id="170" max="25" man="1"/>
    <brk id="226" max="25" man="1"/>
    <brk id="281" max="25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tabColor rgb="FFFF0000"/>
    <pageSetUpPr fitToPage="1"/>
  </sheetPr>
  <dimension ref="A1:BY386"/>
  <sheetViews>
    <sheetView view="pageBreakPreview" topLeftCell="A316" zoomScale="175" zoomScaleNormal="175" zoomScaleSheetLayoutView="175" workbookViewId="0">
      <selection activeCell="K65" sqref="K65:M65"/>
    </sheetView>
  </sheetViews>
  <sheetFormatPr defaultRowHeight="11.25"/>
  <cols>
    <col min="1" max="26" width="2.75" style="5" customWidth="1"/>
    <col min="27" max="28" width="6.625" style="6" customWidth="1"/>
    <col min="29" max="29" width="6.625" style="30" customWidth="1"/>
    <col min="30" max="30" width="7.875" style="6" customWidth="1"/>
    <col min="31" max="41" width="6.625" style="6" customWidth="1"/>
    <col min="42" max="53" width="3.125" style="6" customWidth="1"/>
    <col min="54" max="16384" width="9" style="6"/>
  </cols>
  <sheetData>
    <row r="1" spans="1:77" ht="12.95" customHeight="1">
      <c r="A1" s="100" t="s">
        <v>433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C1" s="6"/>
    </row>
    <row r="2" spans="1:77" ht="3" customHeight="1">
      <c r="A2" s="7"/>
      <c r="AC2" s="6"/>
    </row>
    <row r="3" spans="1:77" ht="12.95" customHeight="1">
      <c r="A3" s="6" t="s">
        <v>218</v>
      </c>
      <c r="B3" s="6"/>
      <c r="C3" s="8"/>
      <c r="F3" s="9"/>
      <c r="AA3" s="10"/>
      <c r="AC3" s="6"/>
    </row>
    <row r="4" spans="1:77" s="18" customFormat="1" ht="12.95" customHeight="1">
      <c r="A4" s="11"/>
      <c r="B4" s="11"/>
      <c r="C4" s="12" t="s">
        <v>252</v>
      </c>
      <c r="D4" s="13"/>
      <c r="E4" s="13"/>
      <c r="F4" s="13"/>
      <c r="G4" s="13"/>
      <c r="H4" s="13"/>
      <c r="I4" s="11"/>
      <c r="J4" s="14" t="s">
        <v>186</v>
      </c>
      <c r="K4" s="460">
        <v>1</v>
      </c>
      <c r="L4" s="460"/>
      <c r="M4" s="460"/>
      <c r="N4" s="460"/>
      <c r="O4" s="13" t="s">
        <v>251</v>
      </c>
      <c r="P4" s="15"/>
      <c r="Q4" s="16" t="s">
        <v>207</v>
      </c>
      <c r="R4" s="211">
        <f>K4*1000</f>
        <v>1000</v>
      </c>
      <c r="S4" s="211"/>
      <c r="T4" s="211"/>
      <c r="U4" s="211"/>
      <c r="V4" s="211"/>
      <c r="W4" s="16" t="s">
        <v>220</v>
      </c>
      <c r="X4" s="17"/>
      <c r="Z4" s="17"/>
      <c r="AA4" s="17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20"/>
      <c r="AZ4" s="20"/>
      <c r="BA4" s="20"/>
      <c r="BB4" s="20"/>
      <c r="BC4" s="20"/>
      <c r="BD4" s="20"/>
      <c r="BE4" s="21"/>
      <c r="BF4" s="21"/>
      <c r="BG4" s="22"/>
      <c r="BH4" s="20"/>
      <c r="BI4" s="20"/>
      <c r="BJ4" s="20"/>
      <c r="BK4" s="20"/>
      <c r="BL4" s="20"/>
      <c r="BM4" s="20"/>
      <c r="BN4" s="20"/>
      <c r="BO4" s="20"/>
      <c r="BP4" s="17"/>
      <c r="BQ4" s="17"/>
      <c r="BR4" s="17"/>
      <c r="BS4" s="17"/>
      <c r="BT4" s="17"/>
      <c r="BU4" s="17"/>
      <c r="BV4" s="17"/>
      <c r="BW4" s="17"/>
      <c r="BX4" s="17"/>
      <c r="BY4" s="17"/>
    </row>
    <row r="5" spans="1:77" s="18" customFormat="1" ht="12.95" customHeight="1">
      <c r="A5" s="11"/>
      <c r="B5" s="11"/>
      <c r="C5" s="12" t="s">
        <v>257</v>
      </c>
      <c r="D5" s="13"/>
      <c r="E5" s="13"/>
      <c r="F5" s="13"/>
      <c r="G5" s="13"/>
      <c r="H5" s="13"/>
      <c r="I5" s="11"/>
      <c r="J5" s="14" t="s">
        <v>186</v>
      </c>
      <c r="K5" s="460">
        <v>1.5</v>
      </c>
      <c r="L5" s="460"/>
      <c r="M5" s="460"/>
      <c r="N5" s="460"/>
      <c r="O5" s="13" t="s">
        <v>201</v>
      </c>
      <c r="P5" s="459" t="s">
        <v>261</v>
      </c>
      <c r="Q5" s="459"/>
      <c r="R5" s="17" t="s">
        <v>262</v>
      </c>
      <c r="S5" s="17"/>
      <c r="T5" s="17"/>
      <c r="U5" s="17"/>
      <c r="V5" s="461">
        <f>ROUND(K5+R14/2,3)</f>
        <v>1.95</v>
      </c>
      <c r="W5" s="461"/>
      <c r="X5" s="461"/>
      <c r="Y5" s="461"/>
      <c r="Z5" s="13" t="s">
        <v>201</v>
      </c>
      <c r="AA5" s="17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20"/>
      <c r="AZ5" s="20"/>
      <c r="BA5" s="20"/>
      <c r="BB5" s="20"/>
      <c r="BC5" s="20"/>
      <c r="BD5" s="20"/>
      <c r="BE5" s="21"/>
      <c r="BF5" s="21"/>
      <c r="BG5" s="22"/>
      <c r="BH5" s="20"/>
      <c r="BI5" s="20"/>
      <c r="BJ5" s="20"/>
      <c r="BK5" s="20"/>
      <c r="BL5" s="20"/>
      <c r="BM5" s="20"/>
      <c r="BN5" s="20"/>
      <c r="BO5" s="20"/>
      <c r="BP5" s="17"/>
      <c r="BQ5" s="17"/>
      <c r="BR5" s="17"/>
      <c r="BS5" s="17"/>
      <c r="BT5" s="17"/>
      <c r="BU5" s="17"/>
      <c r="BV5" s="17"/>
      <c r="BW5" s="17"/>
      <c r="BX5" s="17"/>
      <c r="BY5" s="17"/>
    </row>
    <row r="6" spans="1:77" s="18" customFormat="1" ht="12.95" customHeight="1">
      <c r="A6" s="11"/>
      <c r="B6" s="11"/>
      <c r="C6" s="12" t="s">
        <v>204</v>
      </c>
      <c r="D6" s="13"/>
      <c r="E6" s="13"/>
      <c r="F6" s="13"/>
      <c r="G6" s="13"/>
      <c r="H6" s="13"/>
      <c r="I6" s="11"/>
      <c r="J6" s="14" t="s">
        <v>186</v>
      </c>
      <c r="K6" s="456">
        <v>17</v>
      </c>
      <c r="L6" s="456"/>
      <c r="M6" s="456"/>
      <c r="N6" s="456"/>
      <c r="O6" s="13" t="s">
        <v>219</v>
      </c>
      <c r="P6" s="15"/>
      <c r="Q6" s="17"/>
      <c r="R6" s="17"/>
      <c r="S6" s="17"/>
      <c r="T6" s="17"/>
      <c r="U6" s="17"/>
      <c r="V6" s="17"/>
      <c r="W6" s="17"/>
      <c r="X6" s="17"/>
      <c r="Z6" s="17"/>
      <c r="AA6" s="17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20"/>
      <c r="AZ6" s="20"/>
      <c r="BA6" s="20"/>
      <c r="BB6" s="20"/>
      <c r="BC6" s="20"/>
      <c r="BD6" s="20"/>
      <c r="BE6" s="21"/>
      <c r="BF6" s="21"/>
      <c r="BG6" s="22"/>
      <c r="BH6" s="20"/>
      <c r="BI6" s="20"/>
      <c r="BJ6" s="20"/>
      <c r="BK6" s="20"/>
      <c r="BL6" s="20"/>
      <c r="BM6" s="20"/>
      <c r="BN6" s="20"/>
      <c r="BO6" s="20"/>
      <c r="BP6" s="17"/>
      <c r="BQ6" s="17"/>
      <c r="BR6" s="17"/>
      <c r="BS6" s="17"/>
      <c r="BT6" s="17"/>
      <c r="BU6" s="17"/>
      <c r="BV6" s="17"/>
      <c r="BW6" s="17"/>
      <c r="BX6" s="17"/>
      <c r="BY6" s="17"/>
    </row>
    <row r="7" spans="1:77" s="18" customFormat="1" ht="12.95" customHeight="1">
      <c r="A7" s="11"/>
      <c r="B7" s="11"/>
      <c r="C7" s="12" t="s">
        <v>253</v>
      </c>
      <c r="D7" s="13"/>
      <c r="E7" s="13"/>
      <c r="F7" s="13"/>
      <c r="G7" s="13"/>
      <c r="H7" s="13"/>
      <c r="I7" s="11"/>
      <c r="J7" s="14" t="s">
        <v>186</v>
      </c>
      <c r="K7" s="456">
        <v>20</v>
      </c>
      <c r="L7" s="456"/>
      <c r="M7" s="456"/>
      <c r="N7" s="456"/>
      <c r="O7" s="13" t="s">
        <v>254</v>
      </c>
      <c r="P7" s="15"/>
      <c r="Q7" s="17"/>
      <c r="R7" s="17"/>
      <c r="S7" s="17"/>
      <c r="T7" s="17"/>
      <c r="U7" s="17"/>
      <c r="V7" s="17"/>
      <c r="W7" s="17"/>
      <c r="X7" s="17"/>
      <c r="Z7" s="17"/>
      <c r="AA7" s="17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20"/>
      <c r="AZ7" s="20"/>
      <c r="BA7" s="20"/>
      <c r="BB7" s="20"/>
      <c r="BC7" s="20"/>
      <c r="BD7" s="20"/>
      <c r="BE7" s="21"/>
      <c r="BF7" s="21"/>
      <c r="BG7" s="22"/>
      <c r="BH7" s="20"/>
      <c r="BI7" s="20"/>
      <c r="BJ7" s="20"/>
      <c r="BK7" s="20"/>
      <c r="BL7" s="20"/>
      <c r="BM7" s="20"/>
      <c r="BN7" s="20"/>
      <c r="BO7" s="20"/>
      <c r="BP7" s="17"/>
      <c r="BQ7" s="17"/>
      <c r="BR7" s="17"/>
      <c r="BS7" s="17"/>
      <c r="BT7" s="17"/>
      <c r="BU7" s="17"/>
      <c r="BV7" s="17"/>
      <c r="BW7" s="17"/>
      <c r="BX7" s="17"/>
      <c r="BY7" s="17"/>
    </row>
    <row r="8" spans="1:77" s="18" customFormat="1" ht="12.95" customHeight="1">
      <c r="A8" s="11"/>
      <c r="B8" s="11"/>
      <c r="C8" s="12" t="s">
        <v>202</v>
      </c>
      <c r="D8" s="13"/>
      <c r="E8" s="13"/>
      <c r="F8" s="13"/>
      <c r="G8" s="13"/>
      <c r="H8" s="13"/>
      <c r="I8" s="11"/>
      <c r="J8" s="14" t="s">
        <v>186</v>
      </c>
      <c r="K8" s="457">
        <f>K64</f>
        <v>15</v>
      </c>
      <c r="L8" s="457"/>
      <c r="M8" s="457"/>
      <c r="N8" s="457"/>
      <c r="O8" s="13" t="s">
        <v>203</v>
      </c>
      <c r="P8" s="15"/>
      <c r="Q8" s="17"/>
      <c r="R8" s="17"/>
      <c r="S8" s="17"/>
      <c r="T8" s="17"/>
      <c r="U8" s="17"/>
      <c r="V8" s="17"/>
      <c r="W8" s="17"/>
      <c r="X8" s="17"/>
      <c r="Z8" s="17"/>
      <c r="AA8" s="17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20"/>
      <c r="AZ8" s="20"/>
      <c r="BA8" s="20"/>
      <c r="BB8" s="20"/>
      <c r="BC8" s="20"/>
      <c r="BD8" s="20"/>
      <c r="BE8" s="21"/>
      <c r="BF8" s="21"/>
      <c r="BG8" s="22"/>
      <c r="BH8" s="20"/>
      <c r="BI8" s="20"/>
      <c r="BJ8" s="20"/>
      <c r="BK8" s="20"/>
      <c r="BL8" s="20"/>
      <c r="BM8" s="20"/>
      <c r="BN8" s="20"/>
      <c r="BO8" s="20"/>
      <c r="BP8" s="17"/>
      <c r="BQ8" s="17"/>
      <c r="BR8" s="17"/>
      <c r="BS8" s="17"/>
      <c r="BT8" s="17"/>
      <c r="BU8" s="17"/>
      <c r="BV8" s="17"/>
      <c r="BW8" s="17"/>
      <c r="BX8" s="17"/>
      <c r="BY8" s="17"/>
    </row>
    <row r="9" spans="1:77" s="18" customFormat="1" ht="12.95" customHeight="1">
      <c r="A9" s="11"/>
      <c r="B9" s="11"/>
      <c r="C9" s="12" t="s">
        <v>263</v>
      </c>
      <c r="D9" s="13"/>
      <c r="E9" s="13"/>
      <c r="F9" s="13"/>
      <c r="G9" s="13"/>
      <c r="H9" s="13"/>
      <c r="I9" s="11"/>
      <c r="J9" s="14" t="s">
        <v>186</v>
      </c>
      <c r="K9" s="458" t="s">
        <v>579</v>
      </c>
      <c r="L9" s="458"/>
      <c r="M9" s="458"/>
      <c r="N9" s="458"/>
      <c r="O9" s="13"/>
      <c r="P9" s="459" t="s">
        <v>261</v>
      </c>
      <c r="Q9" s="459"/>
      <c r="R9" s="457">
        <f>IF(K9="없음",0,IF(K9="DB-24",96,IF(K9="DB-18",72,54)))</f>
        <v>54</v>
      </c>
      <c r="S9" s="457"/>
      <c r="T9" s="457"/>
      <c r="U9" s="457"/>
      <c r="V9" s="17" t="s">
        <v>264</v>
      </c>
      <c r="W9" s="17"/>
      <c r="X9" s="17"/>
      <c r="Z9" s="17"/>
      <c r="AA9" s="17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20"/>
      <c r="AZ9" s="20"/>
      <c r="BA9" s="20"/>
      <c r="BB9" s="20"/>
      <c r="BC9" s="20"/>
      <c r="BD9" s="20"/>
      <c r="BE9" s="21"/>
      <c r="BF9" s="21"/>
      <c r="BG9" s="22"/>
      <c r="BH9" s="20"/>
      <c r="BI9" s="20"/>
      <c r="BJ9" s="20"/>
      <c r="BK9" s="20"/>
      <c r="BL9" s="20"/>
      <c r="BM9" s="20"/>
      <c r="BN9" s="20"/>
      <c r="BO9" s="20"/>
      <c r="BP9" s="17"/>
      <c r="BQ9" s="17"/>
      <c r="BR9" s="17"/>
      <c r="BS9" s="17"/>
      <c r="BT9" s="17"/>
      <c r="BU9" s="17"/>
      <c r="BV9" s="17"/>
      <c r="BW9" s="17"/>
      <c r="BX9" s="17"/>
      <c r="BY9" s="17"/>
    </row>
    <row r="10" spans="1:77" s="18" customFormat="1" ht="12.95" customHeight="1">
      <c r="A10" s="11"/>
      <c r="B10" s="11"/>
      <c r="C10" s="12" t="s">
        <v>407</v>
      </c>
      <c r="D10" s="13"/>
      <c r="E10" s="13"/>
      <c r="F10" s="13"/>
      <c r="G10" s="13"/>
      <c r="H10" s="13"/>
      <c r="I10" s="11"/>
      <c r="J10" s="14" t="s">
        <v>186</v>
      </c>
      <c r="K10" s="456">
        <v>0.2</v>
      </c>
      <c r="L10" s="456"/>
      <c r="M10" s="456"/>
      <c r="N10" s="456"/>
      <c r="O10" s="13" t="s">
        <v>8</v>
      </c>
      <c r="P10" s="23" t="s">
        <v>332</v>
      </c>
      <c r="Q10" s="23" t="s">
        <v>410</v>
      </c>
      <c r="R10" s="24"/>
      <c r="S10" s="24"/>
      <c r="T10" s="25" t="s">
        <v>207</v>
      </c>
      <c r="U10" s="456">
        <v>30</v>
      </c>
      <c r="V10" s="456"/>
      <c r="W10" s="456"/>
      <c r="X10" s="456"/>
      <c r="Y10" s="18" t="s">
        <v>8</v>
      </c>
      <c r="Z10" s="17"/>
      <c r="AA10" s="17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20"/>
      <c r="AZ10" s="20"/>
      <c r="BA10" s="20"/>
      <c r="BB10" s="20"/>
      <c r="BC10" s="20"/>
      <c r="BD10" s="20"/>
      <c r="BE10" s="21"/>
      <c r="BF10" s="21"/>
      <c r="BG10" s="22"/>
      <c r="BH10" s="20"/>
      <c r="BI10" s="20"/>
      <c r="BJ10" s="20"/>
      <c r="BK10" s="20"/>
      <c r="BL10" s="20"/>
      <c r="BM10" s="20"/>
      <c r="BN10" s="20"/>
      <c r="BO10" s="20"/>
      <c r="BP10" s="17"/>
      <c r="BQ10" s="17"/>
      <c r="BR10" s="17"/>
      <c r="BS10" s="17"/>
      <c r="BT10" s="17"/>
      <c r="BU10" s="17"/>
      <c r="BV10" s="17"/>
      <c r="BW10" s="17"/>
      <c r="BX10" s="17"/>
      <c r="BY10" s="17"/>
    </row>
    <row r="11" spans="1:77" s="16" customFormat="1" ht="4.5" customHeight="1"/>
    <row r="12" spans="1:77" s="26" customFormat="1" ht="12.95" customHeight="1">
      <c r="A12" s="16"/>
      <c r="B12" s="16" t="s">
        <v>205</v>
      </c>
      <c r="C12" s="16" t="s">
        <v>256</v>
      </c>
      <c r="D12" s="16"/>
      <c r="E12" s="16"/>
      <c r="F12" s="16"/>
      <c r="G12" s="16"/>
      <c r="H12" s="16"/>
      <c r="I12" s="16"/>
      <c r="J12" s="14" t="s">
        <v>186</v>
      </c>
      <c r="K12" s="464">
        <v>160000</v>
      </c>
      <c r="L12" s="464"/>
      <c r="M12" s="464"/>
      <c r="N12" s="464"/>
      <c r="O12" s="16" t="s">
        <v>206</v>
      </c>
      <c r="P12" s="16"/>
      <c r="Q12" s="25" t="s">
        <v>207</v>
      </c>
      <c r="R12" s="464">
        <f>K12*1000</f>
        <v>160000000</v>
      </c>
      <c r="S12" s="464"/>
      <c r="T12" s="464"/>
      <c r="U12" s="464"/>
      <c r="V12" s="464"/>
      <c r="W12" s="16" t="s">
        <v>220</v>
      </c>
      <c r="X12" s="16"/>
      <c r="AA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</row>
    <row r="13" spans="1:77" s="26" customFormat="1" ht="12.95" customHeight="1">
      <c r="A13" s="16"/>
      <c r="B13" s="16" t="s">
        <v>208</v>
      </c>
      <c r="C13" s="16" t="s">
        <v>255</v>
      </c>
      <c r="D13" s="16"/>
      <c r="E13" s="16"/>
      <c r="F13" s="16"/>
      <c r="G13" s="16"/>
      <c r="H13" s="16"/>
      <c r="I13" s="16"/>
      <c r="J13" s="14" t="s">
        <v>186</v>
      </c>
      <c r="K13" s="466">
        <v>13</v>
      </c>
      <c r="L13" s="466"/>
      <c r="M13" s="466"/>
      <c r="N13" s="466"/>
      <c r="O13" s="16" t="s">
        <v>209</v>
      </c>
      <c r="P13" s="16"/>
      <c r="Q13" s="25" t="s">
        <v>207</v>
      </c>
      <c r="R13" s="465">
        <f>K13/1000</f>
        <v>1.2999999999999999E-2</v>
      </c>
      <c r="S13" s="465"/>
      <c r="T13" s="465"/>
      <c r="U13" s="465"/>
      <c r="V13" s="16" t="s">
        <v>210</v>
      </c>
      <c r="W13" s="16"/>
      <c r="X13" s="16"/>
      <c r="Z13" s="16"/>
      <c r="AA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</row>
    <row r="14" spans="1:77" s="26" customFormat="1" ht="12.95" customHeight="1">
      <c r="A14" s="16"/>
      <c r="B14" s="16" t="s">
        <v>211</v>
      </c>
      <c r="C14" s="16" t="s">
        <v>212</v>
      </c>
      <c r="D14" s="16"/>
      <c r="E14" s="16"/>
      <c r="F14" s="16"/>
      <c r="G14" s="16"/>
      <c r="H14" s="16"/>
      <c r="I14" s="16"/>
      <c r="J14" s="14" t="s">
        <v>186</v>
      </c>
      <c r="K14" s="466">
        <v>900</v>
      </c>
      <c r="L14" s="466"/>
      <c r="M14" s="466"/>
      <c r="N14" s="466"/>
      <c r="O14" s="16" t="s">
        <v>209</v>
      </c>
      <c r="P14" s="16"/>
      <c r="Q14" s="25" t="s">
        <v>207</v>
      </c>
      <c r="R14" s="463">
        <f>K14/1000</f>
        <v>0.9</v>
      </c>
      <c r="S14" s="463"/>
      <c r="T14" s="463"/>
      <c r="U14" s="463"/>
      <c r="V14" s="16" t="s">
        <v>210</v>
      </c>
      <c r="W14" s="16"/>
      <c r="X14" s="16"/>
      <c r="Z14" s="16"/>
      <c r="AA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</row>
    <row r="15" spans="1:77" s="26" customFormat="1" ht="12.95" customHeight="1">
      <c r="A15" s="16"/>
      <c r="B15" s="16" t="s">
        <v>258</v>
      </c>
      <c r="C15" s="16" t="s">
        <v>259</v>
      </c>
      <c r="D15" s="16"/>
      <c r="E15" s="16"/>
      <c r="F15" s="16"/>
      <c r="G15" s="16"/>
      <c r="H15" s="16"/>
      <c r="I15" s="16"/>
      <c r="J15" s="14" t="s">
        <v>186</v>
      </c>
      <c r="K15" s="462">
        <v>6000</v>
      </c>
      <c r="L15" s="462"/>
      <c r="M15" s="462"/>
      <c r="N15" s="462"/>
      <c r="O15" s="16" t="s">
        <v>209</v>
      </c>
      <c r="P15" s="16"/>
      <c r="Q15" s="25" t="s">
        <v>207</v>
      </c>
      <c r="R15" s="463">
        <f>K15/1000</f>
        <v>6</v>
      </c>
      <c r="S15" s="463"/>
      <c r="T15" s="463"/>
      <c r="U15" s="463"/>
      <c r="V15" s="16" t="s">
        <v>210</v>
      </c>
      <c r="W15" s="16"/>
      <c r="X15" s="16"/>
      <c r="Z15" s="16"/>
      <c r="AA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</row>
    <row r="16" spans="1:77" s="16" customFormat="1" ht="12.95" customHeight="1">
      <c r="B16" s="16" t="s">
        <v>213</v>
      </c>
      <c r="C16" s="16" t="s">
        <v>214</v>
      </c>
      <c r="J16" s="14" t="s">
        <v>186</v>
      </c>
      <c r="K16" s="464">
        <f>PI()*(K14-AC17)*AC17</f>
        <v>32976.337432433022</v>
      </c>
      <c r="L16" s="464"/>
      <c r="M16" s="464"/>
      <c r="N16" s="464"/>
      <c r="O16" s="16" t="s">
        <v>221</v>
      </c>
      <c r="Q16" s="25" t="s">
        <v>207</v>
      </c>
      <c r="R16" s="465">
        <f>K16*10^-6</f>
        <v>3.2976337432433021E-2</v>
      </c>
      <c r="S16" s="465"/>
      <c r="T16" s="465"/>
      <c r="U16" s="465"/>
      <c r="V16" s="16" t="s">
        <v>222</v>
      </c>
      <c r="AB16" s="16" t="s">
        <v>364</v>
      </c>
    </row>
    <row r="17" spans="1:30" s="16" customFormat="1" ht="12.95" customHeight="1">
      <c r="B17" s="16" t="s">
        <v>215</v>
      </c>
      <c r="C17" s="16" t="s">
        <v>216</v>
      </c>
      <c r="J17" s="25" t="s">
        <v>207</v>
      </c>
      <c r="K17" s="464">
        <f>((PI()*(K14)^4)/64)-((PI()*(K14-AC17*2)^4)/64)</f>
        <v>3252318532.445137</v>
      </c>
      <c r="L17" s="464"/>
      <c r="M17" s="464"/>
      <c r="N17" s="464"/>
      <c r="O17" s="16" t="s">
        <v>223</v>
      </c>
      <c r="P17" s="25"/>
      <c r="Q17" s="25" t="s">
        <v>207</v>
      </c>
      <c r="R17" s="465">
        <f>K17*10^-12</f>
        <v>3.2523185324451372E-3</v>
      </c>
      <c r="S17" s="465"/>
      <c r="T17" s="465"/>
      <c r="U17" s="465"/>
      <c r="V17" s="16" t="s">
        <v>224</v>
      </c>
      <c r="AB17" s="16" t="s">
        <v>363</v>
      </c>
      <c r="AC17" s="16">
        <f>K13/1.1</f>
        <v>11.818181818181817</v>
      </c>
      <c r="AD17" s="16" t="s">
        <v>351</v>
      </c>
    </row>
    <row r="18" spans="1:30" s="16" customFormat="1" ht="12.95" customHeight="1">
      <c r="W18" s="27"/>
      <c r="X18" s="27"/>
    </row>
    <row r="19" spans="1:30" ht="12.95" customHeight="1">
      <c r="A19" s="6" t="s">
        <v>217</v>
      </c>
      <c r="B19" s="6"/>
      <c r="C19" s="8"/>
      <c r="F19" s="9"/>
      <c r="AA19" s="10"/>
      <c r="AC19" s="6"/>
    </row>
    <row r="20" spans="1:30" ht="12.95" customHeight="1">
      <c r="A20" s="6"/>
      <c r="B20" s="6" t="s">
        <v>51</v>
      </c>
      <c r="C20" s="6"/>
      <c r="D20" s="6"/>
      <c r="E20" s="6"/>
      <c r="F20" s="6"/>
      <c r="G20" s="6"/>
      <c r="H20" s="6" t="s">
        <v>126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AA20" s="10"/>
      <c r="AC20" s="6"/>
    </row>
    <row r="21" spans="1:30" ht="9.9499999999999993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AA21" s="10"/>
      <c r="AC21" s="6"/>
    </row>
    <row r="22" spans="1:30" ht="12.95" customHeight="1">
      <c r="A22" s="6"/>
      <c r="B22" s="6" t="s">
        <v>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AA22" s="10"/>
      <c r="AC22" s="6"/>
    </row>
    <row r="23" spans="1:30" ht="15" customHeight="1">
      <c r="A23" s="6"/>
      <c r="B23" s="467" t="s">
        <v>17</v>
      </c>
      <c r="C23" s="468"/>
      <c r="D23" s="468"/>
      <c r="E23" s="469" t="s">
        <v>18</v>
      </c>
      <c r="F23" s="469"/>
      <c r="G23" s="469"/>
      <c r="H23" s="469"/>
      <c r="I23" s="469"/>
      <c r="J23" s="469"/>
      <c r="K23" s="469"/>
      <c r="L23" s="469"/>
      <c r="M23" s="469"/>
      <c r="N23" s="469"/>
      <c r="O23" s="469"/>
      <c r="P23" s="469"/>
      <c r="Q23" s="469"/>
      <c r="R23" s="469"/>
      <c r="S23" s="469"/>
      <c r="T23" s="469" t="s">
        <v>19</v>
      </c>
      <c r="U23" s="469"/>
      <c r="V23" s="469"/>
      <c r="W23" s="469"/>
      <c r="X23" s="469"/>
      <c r="Y23" s="470"/>
      <c r="AA23" s="10"/>
      <c r="AC23" s="6"/>
    </row>
    <row r="24" spans="1:30" ht="12" customHeight="1">
      <c r="A24" s="6"/>
      <c r="B24" s="471" t="s">
        <v>20</v>
      </c>
      <c r="C24" s="472"/>
      <c r="D24" s="472"/>
      <c r="E24" s="475" t="s">
        <v>21</v>
      </c>
      <c r="F24" s="475"/>
      <c r="G24" s="477" t="s">
        <v>22</v>
      </c>
      <c r="H24" s="475"/>
      <c r="I24" s="475"/>
      <c r="J24" s="475"/>
      <c r="K24" s="475"/>
      <c r="L24" s="475"/>
      <c r="M24" s="475"/>
      <c r="N24" s="475"/>
      <c r="O24" s="475"/>
      <c r="P24" s="475"/>
      <c r="Q24" s="475"/>
      <c r="R24" s="475"/>
      <c r="S24" s="475"/>
      <c r="T24" s="478">
        <v>0.11</v>
      </c>
      <c r="U24" s="478"/>
      <c r="V24" s="478"/>
      <c r="W24" s="478"/>
      <c r="X24" s="478"/>
      <c r="Y24" s="479"/>
      <c r="AA24" s="10"/>
      <c r="AC24" s="6"/>
    </row>
    <row r="25" spans="1:30" ht="12" customHeight="1">
      <c r="A25" s="6"/>
      <c r="B25" s="473"/>
      <c r="C25" s="474"/>
      <c r="D25" s="474"/>
      <c r="E25" s="476"/>
      <c r="F25" s="476"/>
      <c r="G25" s="476"/>
      <c r="H25" s="476"/>
      <c r="I25" s="476"/>
      <c r="J25" s="476"/>
      <c r="K25" s="476"/>
      <c r="L25" s="476"/>
      <c r="M25" s="476"/>
      <c r="N25" s="476"/>
      <c r="O25" s="476"/>
      <c r="P25" s="476"/>
      <c r="Q25" s="476"/>
      <c r="R25" s="476"/>
      <c r="S25" s="476"/>
      <c r="T25" s="480"/>
      <c r="U25" s="480"/>
      <c r="V25" s="480"/>
      <c r="W25" s="480"/>
      <c r="X25" s="480"/>
      <c r="Y25" s="481"/>
      <c r="AA25" s="10"/>
      <c r="AC25" s="6"/>
    </row>
    <row r="26" spans="1:30" ht="12" customHeight="1">
      <c r="A26" s="6"/>
      <c r="B26" s="473"/>
      <c r="C26" s="474"/>
      <c r="D26" s="474"/>
      <c r="E26" s="476" t="s">
        <v>23</v>
      </c>
      <c r="F26" s="476"/>
      <c r="G26" s="482" t="s">
        <v>127</v>
      </c>
      <c r="H26" s="476"/>
      <c r="I26" s="476"/>
      <c r="J26" s="476"/>
      <c r="K26" s="476"/>
      <c r="L26" s="476"/>
      <c r="M26" s="476"/>
      <c r="N26" s="476"/>
      <c r="O26" s="476"/>
      <c r="P26" s="476"/>
      <c r="Q26" s="476"/>
      <c r="R26" s="476"/>
      <c r="S26" s="476"/>
      <c r="T26" s="480"/>
      <c r="U26" s="480"/>
      <c r="V26" s="480"/>
      <c r="W26" s="480"/>
      <c r="X26" s="480"/>
      <c r="Y26" s="481"/>
      <c r="AA26" s="10"/>
      <c r="AC26" s="6"/>
    </row>
    <row r="27" spans="1:30" ht="12" customHeight="1">
      <c r="A27" s="6"/>
      <c r="B27" s="473"/>
      <c r="C27" s="474"/>
      <c r="D27" s="474"/>
      <c r="E27" s="476"/>
      <c r="F27" s="476"/>
      <c r="G27" s="476"/>
      <c r="H27" s="476"/>
      <c r="I27" s="476"/>
      <c r="J27" s="476"/>
      <c r="K27" s="476"/>
      <c r="L27" s="476"/>
      <c r="M27" s="476"/>
      <c r="N27" s="476"/>
      <c r="O27" s="476"/>
      <c r="P27" s="476"/>
      <c r="Q27" s="476"/>
      <c r="R27" s="476"/>
      <c r="S27" s="476"/>
      <c r="T27" s="480"/>
      <c r="U27" s="480"/>
      <c r="V27" s="480"/>
      <c r="W27" s="480"/>
      <c r="X27" s="480"/>
      <c r="Y27" s="481"/>
      <c r="AA27" s="10"/>
      <c r="AC27" s="6"/>
    </row>
    <row r="28" spans="1:30" ht="8.1" customHeight="1">
      <c r="A28" s="6"/>
      <c r="B28" s="495" t="s">
        <v>24</v>
      </c>
      <c r="C28" s="496"/>
      <c r="D28" s="496"/>
      <c r="E28" s="496" t="s">
        <v>23</v>
      </c>
      <c r="F28" s="496"/>
      <c r="G28" s="496" t="s">
        <v>25</v>
      </c>
      <c r="H28" s="496"/>
      <c r="I28" s="496"/>
      <c r="J28" s="496"/>
      <c r="K28" s="496"/>
      <c r="L28" s="496"/>
      <c r="M28" s="496"/>
      <c r="N28" s="496"/>
      <c r="O28" s="496"/>
      <c r="P28" s="496"/>
      <c r="Q28" s="496"/>
      <c r="R28" s="496"/>
      <c r="S28" s="496"/>
      <c r="T28" s="496">
        <v>7.0000000000000007E-2</v>
      </c>
      <c r="U28" s="496"/>
      <c r="V28" s="496"/>
      <c r="W28" s="496"/>
      <c r="X28" s="496"/>
      <c r="Y28" s="499"/>
      <c r="AA28" s="10"/>
      <c r="AC28" s="6"/>
    </row>
    <row r="29" spans="1:30" ht="8.1" customHeight="1">
      <c r="A29" s="6"/>
      <c r="B29" s="497"/>
      <c r="C29" s="498"/>
      <c r="D29" s="498"/>
      <c r="E29" s="498"/>
      <c r="F29" s="498"/>
      <c r="G29" s="498"/>
      <c r="H29" s="498"/>
      <c r="I29" s="498"/>
      <c r="J29" s="498"/>
      <c r="K29" s="498"/>
      <c r="L29" s="498"/>
      <c r="M29" s="498"/>
      <c r="N29" s="498"/>
      <c r="O29" s="498"/>
      <c r="P29" s="498"/>
      <c r="Q29" s="498"/>
      <c r="R29" s="498"/>
      <c r="S29" s="498"/>
      <c r="T29" s="498"/>
      <c r="U29" s="498"/>
      <c r="V29" s="498"/>
      <c r="W29" s="498"/>
      <c r="X29" s="498"/>
      <c r="Y29" s="500"/>
      <c r="AA29" s="10"/>
      <c r="AC29" s="6"/>
    </row>
    <row r="30" spans="1:30" ht="9.9499999999999993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AA30" s="10"/>
      <c r="AC30" s="6"/>
    </row>
    <row r="31" spans="1:30" ht="12.95" customHeight="1">
      <c r="A31" s="6"/>
      <c r="B31" s="6" t="s">
        <v>26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AA31" s="10"/>
      <c r="AC31" s="6"/>
    </row>
    <row r="32" spans="1:30" ht="12.95" customHeight="1">
      <c r="A32" s="6"/>
      <c r="B32" s="501" t="s">
        <v>27</v>
      </c>
      <c r="C32" s="502"/>
      <c r="D32" s="502"/>
      <c r="E32" s="502"/>
      <c r="F32" s="502"/>
      <c r="G32" s="502" t="s">
        <v>6</v>
      </c>
      <c r="H32" s="502"/>
      <c r="I32" s="502"/>
      <c r="J32" s="502"/>
      <c r="K32" s="502"/>
      <c r="L32" s="502"/>
      <c r="M32" s="502"/>
      <c r="N32" s="502"/>
      <c r="O32" s="502"/>
      <c r="P32" s="502"/>
      <c r="Q32" s="502"/>
      <c r="R32" s="502"/>
      <c r="S32" s="502"/>
      <c r="T32" s="502" t="s">
        <v>28</v>
      </c>
      <c r="U32" s="502"/>
      <c r="V32" s="502"/>
      <c r="W32" s="502"/>
      <c r="X32" s="502"/>
      <c r="Y32" s="505"/>
      <c r="AA32" s="10"/>
      <c r="AC32" s="6"/>
    </row>
    <row r="33" spans="1:29" ht="15" customHeight="1">
      <c r="A33" s="6"/>
      <c r="B33" s="503"/>
      <c r="C33" s="504"/>
      <c r="D33" s="504"/>
      <c r="E33" s="504"/>
      <c r="F33" s="504"/>
      <c r="G33" s="504"/>
      <c r="H33" s="504"/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 t="s">
        <v>14</v>
      </c>
      <c r="U33" s="504"/>
      <c r="V33" s="504"/>
      <c r="W33" s="504" t="s">
        <v>15</v>
      </c>
      <c r="X33" s="504"/>
      <c r="Y33" s="506"/>
      <c r="AA33" s="5"/>
      <c r="AC33" s="6"/>
    </row>
    <row r="34" spans="1:29" ht="12" customHeight="1">
      <c r="A34" s="6"/>
      <c r="B34" s="471" t="s">
        <v>29</v>
      </c>
      <c r="C34" s="478"/>
      <c r="D34" s="478"/>
      <c r="E34" s="478"/>
      <c r="F34" s="478"/>
      <c r="G34" s="484" t="s">
        <v>30</v>
      </c>
      <c r="H34" s="484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78" t="s">
        <v>37</v>
      </c>
      <c r="U34" s="478"/>
      <c r="V34" s="478"/>
      <c r="W34" s="478" t="s">
        <v>31</v>
      </c>
      <c r="X34" s="478"/>
      <c r="Y34" s="479"/>
      <c r="AA34" s="5"/>
      <c r="AC34" s="6"/>
    </row>
    <row r="35" spans="1:29" ht="11.1" customHeight="1">
      <c r="A35" s="6"/>
      <c r="B35" s="483"/>
      <c r="C35" s="480"/>
      <c r="D35" s="480"/>
      <c r="E35" s="480"/>
      <c r="F35" s="480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0"/>
      <c r="U35" s="480"/>
      <c r="V35" s="480"/>
      <c r="W35" s="480"/>
      <c r="X35" s="480"/>
      <c r="Y35" s="481"/>
      <c r="AA35" s="5"/>
      <c r="AC35" s="6"/>
    </row>
    <row r="36" spans="1:29" ht="11.1" customHeight="1">
      <c r="A36" s="6"/>
      <c r="B36" s="483"/>
      <c r="C36" s="480"/>
      <c r="D36" s="480"/>
      <c r="E36" s="480"/>
      <c r="F36" s="480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0"/>
      <c r="U36" s="480"/>
      <c r="V36" s="480"/>
      <c r="W36" s="480"/>
      <c r="X36" s="480"/>
      <c r="Y36" s="481"/>
      <c r="AA36" s="5"/>
      <c r="AC36" s="6"/>
    </row>
    <row r="37" spans="1:29" ht="12" customHeight="1">
      <c r="A37" s="6"/>
      <c r="B37" s="483"/>
      <c r="C37" s="480"/>
      <c r="D37" s="480"/>
      <c r="E37" s="480"/>
      <c r="F37" s="480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0"/>
      <c r="U37" s="480"/>
      <c r="V37" s="480"/>
      <c r="W37" s="480"/>
      <c r="X37" s="480"/>
      <c r="Y37" s="481"/>
      <c r="AA37" s="5"/>
      <c r="AC37" s="6"/>
    </row>
    <row r="38" spans="1:29" ht="8.1" customHeight="1">
      <c r="A38" s="6"/>
      <c r="B38" s="486" t="s">
        <v>32</v>
      </c>
      <c r="C38" s="487"/>
      <c r="D38" s="487"/>
      <c r="E38" s="487"/>
      <c r="F38" s="487"/>
      <c r="G38" s="490" t="s">
        <v>33</v>
      </c>
      <c r="H38" s="491"/>
      <c r="I38" s="491"/>
      <c r="J38" s="491"/>
      <c r="K38" s="491"/>
      <c r="L38" s="491"/>
      <c r="M38" s="491"/>
      <c r="N38" s="491"/>
      <c r="O38" s="491"/>
      <c r="P38" s="491"/>
      <c r="Q38" s="491"/>
      <c r="R38" s="491"/>
      <c r="S38" s="491"/>
      <c r="T38" s="487" t="s">
        <v>36</v>
      </c>
      <c r="U38" s="487"/>
      <c r="V38" s="487"/>
      <c r="W38" s="487" t="s">
        <v>34</v>
      </c>
      <c r="X38" s="487"/>
      <c r="Y38" s="493"/>
      <c r="AA38" s="5"/>
      <c r="AC38" s="6"/>
    </row>
    <row r="39" spans="1:29" ht="8.1" customHeight="1">
      <c r="A39" s="6"/>
      <c r="B39" s="488"/>
      <c r="C39" s="489"/>
      <c r="D39" s="489"/>
      <c r="E39" s="489"/>
      <c r="F39" s="489"/>
      <c r="G39" s="492"/>
      <c r="H39" s="492"/>
      <c r="I39" s="492"/>
      <c r="J39" s="492"/>
      <c r="K39" s="492"/>
      <c r="L39" s="492"/>
      <c r="M39" s="492"/>
      <c r="N39" s="492"/>
      <c r="O39" s="492"/>
      <c r="P39" s="492"/>
      <c r="Q39" s="492"/>
      <c r="R39" s="492"/>
      <c r="S39" s="492"/>
      <c r="T39" s="489"/>
      <c r="U39" s="489"/>
      <c r="V39" s="489"/>
      <c r="W39" s="489"/>
      <c r="X39" s="489"/>
      <c r="Y39" s="494"/>
      <c r="AA39" s="5"/>
      <c r="AC39" s="6"/>
    </row>
    <row r="40" spans="1:29" ht="9.9499999999999993" customHeight="1">
      <c r="A40" s="6"/>
      <c r="B40" s="2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AA40" s="10"/>
      <c r="AC40" s="6"/>
    </row>
    <row r="41" spans="1:29" ht="12.75" customHeight="1">
      <c r="A41" s="6"/>
      <c r="B41" s="6" t="s">
        <v>35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AA41" s="10"/>
      <c r="AC41" s="6"/>
    </row>
    <row r="42" spans="1:29" ht="15" customHeight="1">
      <c r="A42" s="6"/>
      <c r="B42" s="467" t="s">
        <v>28</v>
      </c>
      <c r="C42" s="469"/>
      <c r="D42" s="469"/>
      <c r="E42" s="469" t="s">
        <v>36</v>
      </c>
      <c r="F42" s="469"/>
      <c r="G42" s="469"/>
      <c r="H42" s="469" t="s">
        <v>37</v>
      </c>
      <c r="I42" s="469"/>
      <c r="J42" s="469"/>
      <c r="K42" s="469" t="s">
        <v>38</v>
      </c>
      <c r="L42" s="469"/>
      <c r="M42" s="469"/>
      <c r="N42" s="469" t="s">
        <v>34</v>
      </c>
      <c r="O42" s="469"/>
      <c r="P42" s="469"/>
      <c r="Q42" s="469" t="s">
        <v>31</v>
      </c>
      <c r="R42" s="469"/>
      <c r="S42" s="469"/>
      <c r="T42" s="469" t="s">
        <v>39</v>
      </c>
      <c r="U42" s="469"/>
      <c r="V42" s="469"/>
      <c r="W42" s="469" t="s">
        <v>40</v>
      </c>
      <c r="X42" s="469"/>
      <c r="Y42" s="470"/>
      <c r="AA42" s="10"/>
      <c r="AC42" s="6"/>
    </row>
    <row r="43" spans="1:29" ht="15" customHeight="1">
      <c r="A43" s="6"/>
      <c r="B43" s="507" t="s">
        <v>41</v>
      </c>
      <c r="C43" s="508"/>
      <c r="D43" s="508"/>
      <c r="E43" s="508">
        <v>0.4</v>
      </c>
      <c r="F43" s="508"/>
      <c r="G43" s="508"/>
      <c r="H43" s="509">
        <v>0.56999999999999995</v>
      </c>
      <c r="I43" s="509"/>
      <c r="J43" s="509"/>
      <c r="K43" s="508">
        <v>0.73</v>
      </c>
      <c r="L43" s="508"/>
      <c r="M43" s="508"/>
      <c r="N43" s="510">
        <v>1</v>
      </c>
      <c r="O43" s="510"/>
      <c r="P43" s="510"/>
      <c r="Q43" s="511">
        <v>1.4</v>
      </c>
      <c r="R43" s="511"/>
      <c r="S43" s="511"/>
      <c r="T43" s="510">
        <v>2</v>
      </c>
      <c r="U43" s="510"/>
      <c r="V43" s="510"/>
      <c r="W43" s="510">
        <v>2.6</v>
      </c>
      <c r="X43" s="510"/>
      <c r="Y43" s="512"/>
      <c r="AA43" s="10"/>
      <c r="AC43" s="6"/>
    </row>
    <row r="44" spans="1:29" ht="9.9499999999999993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AA44" s="10"/>
      <c r="AC44" s="6"/>
    </row>
    <row r="45" spans="1:29" ht="12.95" customHeight="1">
      <c r="A45" s="6"/>
      <c r="B45" s="6" t="s">
        <v>52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29"/>
      <c r="AC45" s="6"/>
    </row>
    <row r="46" spans="1:29" ht="12.95" customHeight="1">
      <c r="A46" s="6"/>
      <c r="B46" s="6" t="s">
        <v>199</v>
      </c>
      <c r="C46" s="6"/>
      <c r="D46" s="6"/>
    </row>
    <row r="47" spans="1:29" ht="12.95" customHeight="1">
      <c r="A47" s="6"/>
      <c r="B47" s="6" t="s">
        <v>573</v>
      </c>
      <c r="C47" s="6"/>
      <c r="D47" s="6"/>
    </row>
    <row r="48" spans="1:29" ht="12.95" customHeight="1">
      <c r="A48" s="6"/>
      <c r="B48" s="6" t="s">
        <v>571</v>
      </c>
      <c r="C48" s="6"/>
      <c r="D48" s="6"/>
      <c r="AB48" s="7" t="s">
        <v>102</v>
      </c>
      <c r="AC48" s="7" t="s">
        <v>191</v>
      </c>
    </row>
    <row r="49" spans="1:34" ht="12.95" customHeight="1">
      <c r="A49" s="6"/>
      <c r="B49" s="6" t="s">
        <v>572</v>
      </c>
      <c r="C49" s="6"/>
      <c r="D49" s="6"/>
      <c r="AB49" s="7" t="s">
        <v>102</v>
      </c>
      <c r="AC49" s="7" t="s">
        <v>194</v>
      </c>
    </row>
    <row r="50" spans="1:34" ht="5.0999999999999996" customHeight="1" thickBot="1">
      <c r="A50" s="6"/>
      <c r="B50" s="6"/>
      <c r="C50" s="6"/>
      <c r="D50" s="6"/>
    </row>
    <row r="51" spans="1:34" ht="26.1" customHeight="1">
      <c r="A51" s="6"/>
      <c r="B51" s="501" t="s">
        <v>42</v>
      </c>
      <c r="C51" s="502"/>
      <c r="D51" s="502"/>
      <c r="E51" s="502"/>
      <c r="F51" s="237" t="s">
        <v>123</v>
      </c>
      <c r="G51" s="238"/>
      <c r="H51" s="239"/>
      <c r="I51" s="237" t="s">
        <v>43</v>
      </c>
      <c r="J51" s="238"/>
      <c r="K51" s="239"/>
      <c r="L51" s="237" t="s">
        <v>44</v>
      </c>
      <c r="M51" s="238"/>
      <c r="N51" s="239"/>
      <c r="O51" s="231" t="s">
        <v>475</v>
      </c>
      <c r="P51" s="232"/>
      <c r="Q51" s="232"/>
      <c r="R51" s="527"/>
      <c r="S51" s="528" t="s">
        <v>473</v>
      </c>
      <c r="T51" s="529"/>
      <c r="U51" s="232" t="s">
        <v>474</v>
      </c>
      <c r="V51" s="232"/>
      <c r="W51" s="232"/>
      <c r="X51" s="233"/>
      <c r="AC51" s="31" t="s">
        <v>190</v>
      </c>
    </row>
    <row r="52" spans="1:34" ht="12.95" customHeight="1">
      <c r="A52" s="6"/>
      <c r="B52" s="516" t="s">
        <v>193</v>
      </c>
      <c r="C52" s="517"/>
      <c r="D52" s="517"/>
      <c r="E52" s="517"/>
      <c r="F52" s="518">
        <v>10</v>
      </c>
      <c r="G52" s="519"/>
      <c r="H52" s="520"/>
      <c r="I52" s="134">
        <v>5</v>
      </c>
      <c r="J52" s="126" t="s">
        <v>5</v>
      </c>
      <c r="K52" s="134">
        <v>25</v>
      </c>
      <c r="L52" s="524">
        <f t="shared" ref="L52:L53" si="0">IFERROR(IF(K52=30,I52,IF((50*30/K52)&gt;=300,"300",50*30/K52)),"")</f>
        <v>60</v>
      </c>
      <c r="M52" s="525"/>
      <c r="N52" s="526"/>
      <c r="O52" s="320">
        <f t="shared" ref="O52:O53" si="1">IF(OR(AC52="",AC52=0),IFERROR(ROUND(65.64*L52^0.407,2),IF(OR(B52="연암층",B52="경암층",B52="보통암층",B52="기반암층"),760,"")),AC52)</f>
        <v>347.44</v>
      </c>
      <c r="P52" s="321"/>
      <c r="Q52" s="321"/>
      <c r="R52" s="322"/>
      <c r="S52" s="530">
        <f t="shared" ref="S52:S53" si="2">IF(O52="","",IF(O52&gt;360,1,0.8))</f>
        <v>0.8</v>
      </c>
      <c r="T52" s="531"/>
      <c r="U52" s="534">
        <f t="shared" ref="U52:U53" si="3">IF(ISERROR(O52*S52),"",O52*S52)</f>
        <v>277.952</v>
      </c>
      <c r="V52" s="534"/>
      <c r="W52" s="534"/>
      <c r="X52" s="535"/>
      <c r="AC52" s="3"/>
      <c r="AE52" s="513"/>
      <c r="AF52" s="513"/>
      <c r="AG52" s="513"/>
    </row>
    <row r="53" spans="1:34" ht="12.95" customHeight="1">
      <c r="A53" s="6"/>
      <c r="B53" s="514" t="s">
        <v>472</v>
      </c>
      <c r="C53" s="515"/>
      <c r="D53" s="515"/>
      <c r="E53" s="515"/>
      <c r="F53" s="521">
        <v>5</v>
      </c>
      <c r="G53" s="522"/>
      <c r="H53" s="523"/>
      <c r="I53" s="98">
        <v>20</v>
      </c>
      <c r="J53" s="32" t="s">
        <v>5</v>
      </c>
      <c r="K53" s="98">
        <v>30</v>
      </c>
      <c r="L53" s="524">
        <f t="shared" si="0"/>
        <v>20</v>
      </c>
      <c r="M53" s="525"/>
      <c r="N53" s="526"/>
      <c r="O53" s="320">
        <f t="shared" si="1"/>
        <v>222.17</v>
      </c>
      <c r="P53" s="321"/>
      <c r="Q53" s="321"/>
      <c r="R53" s="322"/>
      <c r="S53" s="532">
        <f t="shared" si="2"/>
        <v>0.8</v>
      </c>
      <c r="T53" s="533"/>
      <c r="U53" s="536">
        <f t="shared" si="3"/>
        <v>177.73599999999999</v>
      </c>
      <c r="V53" s="536"/>
      <c r="W53" s="536"/>
      <c r="X53" s="537"/>
      <c r="AC53" s="3"/>
    </row>
    <row r="54" spans="1:34" ht="12.95" customHeight="1">
      <c r="A54" s="6"/>
      <c r="B54" s="514"/>
      <c r="C54" s="515"/>
      <c r="D54" s="515"/>
      <c r="E54" s="515"/>
      <c r="F54" s="521"/>
      <c r="G54" s="522"/>
      <c r="H54" s="523"/>
      <c r="I54" s="98"/>
      <c r="J54" s="32" t="s">
        <v>5</v>
      </c>
      <c r="K54" s="98"/>
      <c r="L54" s="524" t="str">
        <f>IFERROR(IF(K54=30,I54,IF((50*30/K54)&gt;=300,"300",50*30/K54)),"")</f>
        <v/>
      </c>
      <c r="M54" s="525"/>
      <c r="N54" s="526"/>
      <c r="O54" s="320" t="str">
        <f>IF(OR(AC54="",AC54=0),IFERROR(ROUND(65.64*L54^0.407,2),IF(OR(B54="연암층",B54="경암층",B54="보통암층",B54="기반암층"),760,"")),AC54)</f>
        <v/>
      </c>
      <c r="P54" s="321"/>
      <c r="Q54" s="321"/>
      <c r="R54" s="322"/>
      <c r="S54" s="532" t="str">
        <f>IF(O54="","",IF(O54&gt;360,1,0.8))</f>
        <v/>
      </c>
      <c r="T54" s="533"/>
      <c r="U54" s="536" t="str">
        <f>IF(ISERROR(O54*S54),"",O54*S54)</f>
        <v/>
      </c>
      <c r="V54" s="536"/>
      <c r="W54" s="536"/>
      <c r="X54" s="537"/>
      <c r="AC54" s="3"/>
      <c r="AE54" s="545"/>
      <c r="AF54" s="545"/>
      <c r="AG54" s="545"/>
      <c r="AH54" s="545"/>
    </row>
    <row r="55" spans="1:34" ht="12.95" customHeight="1" thickBot="1">
      <c r="A55" s="6"/>
      <c r="B55" s="546"/>
      <c r="C55" s="547"/>
      <c r="D55" s="547"/>
      <c r="E55" s="547"/>
      <c r="F55" s="548"/>
      <c r="G55" s="549"/>
      <c r="H55" s="550"/>
      <c r="I55" s="99"/>
      <c r="J55" s="33" t="s">
        <v>5</v>
      </c>
      <c r="K55" s="99"/>
      <c r="L55" s="551" t="str">
        <f>IFERROR(IF(K55=30,I55,IF((50*30/K55)&gt;=300,"300",50*30/K55)),"")</f>
        <v/>
      </c>
      <c r="M55" s="552"/>
      <c r="N55" s="553"/>
      <c r="O55" s="336" t="str">
        <f>IF(OR(AC55="",AC55=0),IFERROR(ROUND(65.64*L55^0.407,2),IF(OR(B55="연암층",B55="경암층",B55="보통암층",B55="기반암층"),760,"")),AC55)</f>
        <v/>
      </c>
      <c r="P55" s="337"/>
      <c r="Q55" s="337"/>
      <c r="R55" s="338"/>
      <c r="S55" s="554" t="str">
        <f>IF(O55="","",IF(O55&gt;360,1,0.8))</f>
        <v/>
      </c>
      <c r="T55" s="555"/>
      <c r="U55" s="556" t="str">
        <f>IF(ISERROR(O55*S55),"",O55*S55)</f>
        <v/>
      </c>
      <c r="V55" s="556"/>
      <c r="W55" s="556"/>
      <c r="X55" s="557"/>
      <c r="AC55" s="4"/>
    </row>
    <row r="56" spans="1:34" ht="12.95" customHeight="1">
      <c r="A56" s="6"/>
      <c r="B56" s="6" t="s">
        <v>45</v>
      </c>
      <c r="C56" s="6"/>
      <c r="D56" s="6"/>
    </row>
    <row r="57" spans="1:34" ht="12.95" customHeight="1">
      <c r="A57" s="6"/>
      <c r="B57" s="34" t="s">
        <v>46</v>
      </c>
      <c r="C57" s="6"/>
      <c r="D57" s="6"/>
    </row>
    <row r="58" spans="1:34" ht="12.95" customHeight="1">
      <c r="A58" s="6"/>
      <c r="B58" s="34" t="s">
        <v>47</v>
      </c>
      <c r="C58" s="6"/>
      <c r="D58" s="6"/>
    </row>
    <row r="59" spans="1:34" ht="12.95" customHeight="1">
      <c r="A59" s="6"/>
      <c r="B59" s="6" t="s">
        <v>101</v>
      </c>
      <c r="C59" s="6"/>
      <c r="D59" s="6"/>
    </row>
    <row r="60" spans="1:34" ht="12.95" customHeight="1">
      <c r="A60" s="6"/>
      <c r="B60" s="6" t="s">
        <v>100</v>
      </c>
      <c r="C60" s="6"/>
      <c r="D60" s="6"/>
    </row>
    <row r="61" spans="1:34" ht="12.95" customHeight="1">
      <c r="A61" s="6"/>
      <c r="B61" s="6" t="s">
        <v>476</v>
      </c>
      <c r="C61" s="6"/>
      <c r="D61" s="6"/>
    </row>
    <row r="62" spans="1:34" ht="4.5" customHeight="1">
      <c r="A62" s="6"/>
      <c r="B62" s="6"/>
      <c r="C62" s="6"/>
      <c r="D62" s="6"/>
    </row>
    <row r="63" spans="1:34" ht="12.95" customHeight="1">
      <c r="A63" s="6"/>
      <c r="B63" s="6" t="s">
        <v>200</v>
      </c>
      <c r="C63" s="6"/>
      <c r="D63" s="6"/>
    </row>
    <row r="64" spans="1:34" ht="12.95" customHeight="1">
      <c r="A64" s="6"/>
      <c r="B64" s="6" t="s">
        <v>192</v>
      </c>
      <c r="C64" s="6"/>
      <c r="D64" s="6"/>
      <c r="E64" s="6"/>
      <c r="F64" s="6"/>
      <c r="G64" s="6"/>
      <c r="H64" s="6"/>
      <c r="I64" s="6"/>
      <c r="J64" s="30" t="s">
        <v>0</v>
      </c>
      <c r="K64" s="538">
        <f>SUMIF(N68:Q71,"&lt;760",J68:M71)</f>
        <v>15</v>
      </c>
      <c r="L64" s="538"/>
      <c r="M64" s="538"/>
      <c r="N64" s="6" t="s">
        <v>8</v>
      </c>
      <c r="O64" s="6" t="str">
        <f>IF(K64&gt;20,"(기반암 깊이 20m 초과)","")</f>
        <v/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29"/>
      <c r="AB64" s="35" t="s">
        <v>243</v>
      </c>
      <c r="AC64" s="6"/>
      <c r="AD64" s="36">
        <f>V5</f>
        <v>1.95</v>
      </c>
    </row>
    <row r="65" spans="1:34" ht="12.95" customHeight="1">
      <c r="A65" s="6"/>
      <c r="B65" s="6" t="s">
        <v>480</v>
      </c>
      <c r="C65" s="6"/>
      <c r="D65" s="6"/>
      <c r="J65" s="9" t="s">
        <v>0</v>
      </c>
      <c r="K65" s="539">
        <f>ROUND(SUMIF(N68:N71,"&lt;760",AC68:AC71)/SUMIF(N68:N71,"&lt;760",AD68:AD71),2)</f>
        <v>292.47000000000003</v>
      </c>
      <c r="L65" s="539"/>
      <c r="M65" s="539"/>
      <c r="N65" s="5" t="s">
        <v>48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29"/>
      <c r="AC65" s="6"/>
      <c r="AD65" s="37"/>
      <c r="AH65" s="7"/>
    </row>
    <row r="66" spans="1:34" ht="12.95" customHeight="1" thickBot="1">
      <c r="A66" s="6"/>
      <c r="B66" s="467" t="s">
        <v>42</v>
      </c>
      <c r="C66" s="469"/>
      <c r="D66" s="469"/>
      <c r="E66" s="469"/>
      <c r="F66" s="542" t="s">
        <v>187</v>
      </c>
      <c r="G66" s="542"/>
      <c r="H66" s="542"/>
      <c r="I66" s="542"/>
      <c r="J66" s="298" t="s">
        <v>124</v>
      </c>
      <c r="K66" s="298"/>
      <c r="L66" s="298"/>
      <c r="M66" s="298"/>
      <c r="N66" s="298" t="s">
        <v>125</v>
      </c>
      <c r="O66" s="258"/>
      <c r="P66" s="258"/>
      <c r="Q66" s="258"/>
      <c r="R66" s="469" t="s">
        <v>128</v>
      </c>
      <c r="S66" s="469"/>
      <c r="T66" s="469"/>
      <c r="U66" s="469"/>
      <c r="V66" s="469" t="s">
        <v>106</v>
      </c>
      <c r="W66" s="469"/>
      <c r="X66" s="469"/>
      <c r="Y66" s="470"/>
      <c r="Z66" s="6"/>
      <c r="AA66" s="29"/>
    </row>
    <row r="67" spans="1:34" ht="12.95" customHeight="1">
      <c r="A67" s="6"/>
      <c r="B67" s="540"/>
      <c r="C67" s="541"/>
      <c r="D67" s="541"/>
      <c r="E67" s="541"/>
      <c r="F67" s="543"/>
      <c r="G67" s="543"/>
      <c r="H67" s="543"/>
      <c r="I67" s="543"/>
      <c r="J67" s="299"/>
      <c r="K67" s="299"/>
      <c r="L67" s="299"/>
      <c r="M67" s="299"/>
      <c r="N67" s="300"/>
      <c r="O67" s="300"/>
      <c r="P67" s="300"/>
      <c r="Q67" s="300"/>
      <c r="R67" s="541"/>
      <c r="S67" s="541"/>
      <c r="T67" s="541"/>
      <c r="U67" s="541"/>
      <c r="V67" s="541"/>
      <c r="W67" s="541"/>
      <c r="X67" s="541"/>
      <c r="Y67" s="544"/>
      <c r="Z67" s="6"/>
      <c r="AA67" s="29"/>
      <c r="AB67" s="558" t="s">
        <v>188</v>
      </c>
      <c r="AC67" s="559"/>
      <c r="AD67" s="560"/>
    </row>
    <row r="68" spans="1:34" ht="12.95" customHeight="1">
      <c r="A68" s="6"/>
      <c r="B68" s="566" t="str">
        <f>IF(B52="","",B52)</f>
        <v>매립층</v>
      </c>
      <c r="C68" s="567"/>
      <c r="D68" s="567"/>
      <c r="E68" s="567"/>
      <c r="F68" s="568">
        <f>IF(B68="","",J68)</f>
        <v>10</v>
      </c>
      <c r="G68" s="568"/>
      <c r="H68" s="568"/>
      <c r="I68" s="568"/>
      <c r="J68" s="313">
        <f>IF(ISBLANK(F52),"",F52)</f>
        <v>10</v>
      </c>
      <c r="K68" s="313"/>
      <c r="L68" s="313"/>
      <c r="M68" s="313"/>
      <c r="N68" s="569">
        <f>IF(ISBLANK(O52),"",O52)</f>
        <v>347.44</v>
      </c>
      <c r="O68" s="569"/>
      <c r="P68" s="569"/>
      <c r="Q68" s="569"/>
      <c r="R68" s="570">
        <f>IF(B68="","",ROUND(J68/N68,5))</f>
        <v>2.878E-2</v>
      </c>
      <c r="S68" s="570"/>
      <c r="T68" s="570"/>
      <c r="U68" s="570"/>
      <c r="V68" s="571">
        <f>IF(B68="","",ROUND(4*J68/N68,3))</f>
        <v>0.115</v>
      </c>
      <c r="W68" s="571"/>
      <c r="X68" s="571"/>
      <c r="Y68" s="572"/>
      <c r="Z68" s="6"/>
      <c r="AA68" s="29"/>
      <c r="AB68" s="139">
        <f>F68</f>
        <v>10</v>
      </c>
      <c r="AC68" s="141">
        <f>IF(J68&gt;=20,20,J68)</f>
        <v>10</v>
      </c>
      <c r="AD68" s="38">
        <f>IFERROR(AC68/N68,0)</f>
        <v>2.8781947962238083E-2</v>
      </c>
    </row>
    <row r="69" spans="1:34" ht="12.95" customHeight="1">
      <c r="A69" s="6"/>
      <c r="B69" s="486" t="str">
        <f>IF(B53="","",B53)</f>
        <v>매립층-2</v>
      </c>
      <c r="C69" s="487"/>
      <c r="D69" s="487"/>
      <c r="E69" s="487"/>
      <c r="F69" s="573">
        <f>IF(B69="","",F68+J69)</f>
        <v>15</v>
      </c>
      <c r="G69" s="573"/>
      <c r="H69" s="573"/>
      <c r="I69" s="573"/>
      <c r="J69" s="313">
        <f>IF(ISBLANK(F53),"",F53)</f>
        <v>5</v>
      </c>
      <c r="K69" s="313"/>
      <c r="L69" s="313"/>
      <c r="M69" s="313"/>
      <c r="N69" s="569">
        <f>IF(ISBLANK(O53),"",O53)</f>
        <v>222.17</v>
      </c>
      <c r="O69" s="569"/>
      <c r="P69" s="569"/>
      <c r="Q69" s="569"/>
      <c r="R69" s="574">
        <f>IF(B69="","",ROUND(J69/N69,5))</f>
        <v>2.2509999999999999E-2</v>
      </c>
      <c r="S69" s="574"/>
      <c r="T69" s="574"/>
      <c r="U69" s="574"/>
      <c r="V69" s="575">
        <f>IF(B69="","",ROUND(4*J69/N69,3))</f>
        <v>0.09</v>
      </c>
      <c r="W69" s="575"/>
      <c r="X69" s="575"/>
      <c r="Y69" s="576"/>
      <c r="Z69" s="6"/>
      <c r="AA69" s="29"/>
      <c r="AB69" s="139">
        <f>F69</f>
        <v>15</v>
      </c>
      <c r="AC69" s="141">
        <f>IF(J68&gt;=20,"20m 초과",IF(SUM(J68:J69)&gt;=20,(20-J68),J69))</f>
        <v>5</v>
      </c>
      <c r="AD69" s="38">
        <f>IFERROR(AC69/N69,0)</f>
        <v>2.2505288742854571E-2</v>
      </c>
    </row>
    <row r="70" spans="1:34" ht="12.95" customHeight="1">
      <c r="A70" s="6"/>
      <c r="B70" s="486" t="str">
        <f>IF(B54="","",B54)</f>
        <v/>
      </c>
      <c r="C70" s="487"/>
      <c r="D70" s="487"/>
      <c r="E70" s="487"/>
      <c r="F70" s="573" t="str">
        <f>IF(B70="","",F69+J70)</f>
        <v/>
      </c>
      <c r="G70" s="573"/>
      <c r="H70" s="573"/>
      <c r="I70" s="573"/>
      <c r="J70" s="313" t="str">
        <f>IF(ISBLANK(F54),"",F54)</f>
        <v/>
      </c>
      <c r="K70" s="313"/>
      <c r="L70" s="313"/>
      <c r="M70" s="313"/>
      <c r="N70" s="569" t="str">
        <f>IF(ISBLANK(O54),"",O54)</f>
        <v/>
      </c>
      <c r="O70" s="569"/>
      <c r="P70" s="569"/>
      <c r="Q70" s="569"/>
      <c r="R70" s="574" t="str">
        <f>IF(B70="","",ROUND(J70/N70,5))</f>
        <v/>
      </c>
      <c r="S70" s="574"/>
      <c r="T70" s="574"/>
      <c r="U70" s="574"/>
      <c r="V70" s="575" t="str">
        <f>IF(B70="","",ROUND(4*J70/N70,3))</f>
        <v/>
      </c>
      <c r="W70" s="575"/>
      <c r="X70" s="575"/>
      <c r="Y70" s="576"/>
      <c r="Z70" s="6"/>
      <c r="AA70" s="29"/>
      <c r="AB70" s="139" t="str">
        <f>F70</f>
        <v/>
      </c>
      <c r="AC70" s="141" t="str">
        <f>IF(SUM(J68:J69)&gt;=20,"20m 초과",IF(SUM(J68:J70)&gt;=20,(20-SUM(J68:J69)),J70))</f>
        <v/>
      </c>
      <c r="AD70" s="38">
        <f>IFERROR(AC70/N70,0)</f>
        <v>0</v>
      </c>
    </row>
    <row r="71" spans="1:34" ht="12.95" customHeight="1" thickBot="1">
      <c r="A71" s="6"/>
      <c r="B71" s="488" t="str">
        <f>IF(B55="","",B55)</f>
        <v/>
      </c>
      <c r="C71" s="489"/>
      <c r="D71" s="489"/>
      <c r="E71" s="489"/>
      <c r="F71" s="561" t="str">
        <f>IF(B71="","",MAX(F68:H70)+J71)</f>
        <v/>
      </c>
      <c r="G71" s="561"/>
      <c r="H71" s="561"/>
      <c r="I71" s="561"/>
      <c r="J71" s="249" t="str">
        <f>IF(ISBLANK(F55),"",F55)</f>
        <v/>
      </c>
      <c r="K71" s="249"/>
      <c r="L71" s="249"/>
      <c r="M71" s="249"/>
      <c r="N71" s="562" t="str">
        <f>O55</f>
        <v/>
      </c>
      <c r="O71" s="562"/>
      <c r="P71" s="562"/>
      <c r="Q71" s="562"/>
      <c r="R71" s="563" t="str">
        <f>IF(B71="","",ROUND(J71/N71,5))</f>
        <v/>
      </c>
      <c r="S71" s="563"/>
      <c r="T71" s="563"/>
      <c r="U71" s="563"/>
      <c r="V71" s="564" t="str">
        <f>IF(B71="","",ROUND(4*J71/N71,3))</f>
        <v/>
      </c>
      <c r="W71" s="564"/>
      <c r="X71" s="564"/>
      <c r="Y71" s="565"/>
      <c r="Z71" s="6"/>
      <c r="AA71" s="29"/>
      <c r="AB71" s="140" t="str">
        <f>F71</f>
        <v/>
      </c>
      <c r="AC71" s="142" t="str">
        <f>IF(SUM(J68:J70)&gt;=20,"20m 초과",IF(SUM(J68:J71)&gt;=20,(20-SUM(J68:J70)),J71))</f>
        <v/>
      </c>
      <c r="AD71" s="39">
        <f>IFERROR(AC71/N71,0)</f>
        <v>0</v>
      </c>
    </row>
    <row r="72" spans="1:34" ht="12.95" customHeight="1">
      <c r="A72" s="6"/>
      <c r="B72" s="64" t="s">
        <v>562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29"/>
      <c r="AC72" s="6"/>
    </row>
    <row r="73" spans="1:34" ht="12.95" customHeight="1">
      <c r="A73" s="6"/>
      <c r="B73" s="64" t="s">
        <v>563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29"/>
      <c r="AC73" s="6"/>
    </row>
    <row r="74" spans="1:34" ht="9.9499999999999993" customHeight="1">
      <c r="A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29"/>
    </row>
    <row r="75" spans="1:34" ht="12.95" customHeight="1">
      <c r="A75" s="6"/>
      <c r="B75" s="6" t="s">
        <v>479</v>
      </c>
      <c r="C75" s="6"/>
      <c r="D75" s="6"/>
      <c r="O75" s="9" t="s">
        <v>0</v>
      </c>
      <c r="P75" s="539">
        <f>ROUND(SUMIF(N78:N81,"&lt;760",AC78:AC81)/SUMIF(N78:N81,"&lt;760",AD78:AD81),2)</f>
        <v>233.98</v>
      </c>
      <c r="Q75" s="539"/>
      <c r="R75" s="539"/>
      <c r="S75" s="5" t="s">
        <v>48</v>
      </c>
      <c r="AC75" s="6"/>
      <c r="AD75" s="37"/>
      <c r="AH75" s="7"/>
    </row>
    <row r="76" spans="1:34" ht="12.95" customHeight="1" thickBot="1">
      <c r="A76" s="6"/>
      <c r="B76" s="467" t="s">
        <v>42</v>
      </c>
      <c r="C76" s="469"/>
      <c r="D76" s="469"/>
      <c r="E76" s="469"/>
      <c r="F76" s="542" t="s">
        <v>187</v>
      </c>
      <c r="G76" s="542"/>
      <c r="H76" s="542"/>
      <c r="I76" s="542"/>
      <c r="J76" s="298" t="s">
        <v>124</v>
      </c>
      <c r="K76" s="298"/>
      <c r="L76" s="298"/>
      <c r="M76" s="298"/>
      <c r="N76" s="298" t="s">
        <v>477</v>
      </c>
      <c r="O76" s="258"/>
      <c r="P76" s="258"/>
      <c r="Q76" s="258"/>
      <c r="R76" s="469" t="s">
        <v>128</v>
      </c>
      <c r="S76" s="469"/>
      <c r="T76" s="469"/>
      <c r="U76" s="469"/>
      <c r="V76" s="469" t="s">
        <v>10</v>
      </c>
      <c r="W76" s="469"/>
      <c r="X76" s="469"/>
      <c r="Y76" s="470"/>
      <c r="Z76" s="6"/>
      <c r="AA76" s="29"/>
    </row>
    <row r="77" spans="1:34" ht="12.95" customHeight="1">
      <c r="A77" s="6"/>
      <c r="B77" s="540"/>
      <c r="C77" s="541"/>
      <c r="D77" s="541"/>
      <c r="E77" s="541"/>
      <c r="F77" s="543"/>
      <c r="G77" s="543"/>
      <c r="H77" s="543"/>
      <c r="I77" s="543"/>
      <c r="J77" s="299"/>
      <c r="K77" s="299"/>
      <c r="L77" s="299"/>
      <c r="M77" s="299"/>
      <c r="N77" s="300"/>
      <c r="O77" s="300"/>
      <c r="P77" s="300"/>
      <c r="Q77" s="300"/>
      <c r="R77" s="541"/>
      <c r="S77" s="541"/>
      <c r="T77" s="541"/>
      <c r="U77" s="541"/>
      <c r="V77" s="541"/>
      <c r="W77" s="541"/>
      <c r="X77" s="541"/>
      <c r="Y77" s="544"/>
      <c r="Z77" s="6"/>
      <c r="AA77" s="29"/>
      <c r="AB77" s="652" t="s">
        <v>188</v>
      </c>
      <c r="AC77" s="653"/>
      <c r="AD77" s="654"/>
    </row>
    <row r="78" spans="1:34" ht="12.95" customHeight="1">
      <c r="A78" s="6"/>
      <c r="B78" s="566" t="str">
        <f>B68</f>
        <v>매립층</v>
      </c>
      <c r="C78" s="567"/>
      <c r="D78" s="567"/>
      <c r="E78" s="567"/>
      <c r="F78" s="568">
        <f>F68</f>
        <v>10</v>
      </c>
      <c r="G78" s="568"/>
      <c r="H78" s="568"/>
      <c r="I78" s="568"/>
      <c r="J78" s="313">
        <f>J68</f>
        <v>10</v>
      </c>
      <c r="K78" s="313"/>
      <c r="L78" s="313"/>
      <c r="M78" s="313"/>
      <c r="N78" s="569">
        <f>IF(ISBLANK(U52),"",U52)</f>
        <v>277.952</v>
      </c>
      <c r="O78" s="569"/>
      <c r="P78" s="569"/>
      <c r="Q78" s="569"/>
      <c r="R78" s="570">
        <f>IF(B78="","",ROUND(J78/N78,5))</f>
        <v>3.5979999999999998E-2</v>
      </c>
      <c r="S78" s="570"/>
      <c r="T78" s="570"/>
      <c r="U78" s="570"/>
      <c r="V78" s="571"/>
      <c r="W78" s="571"/>
      <c r="X78" s="571"/>
      <c r="Y78" s="572"/>
      <c r="Z78" s="6"/>
      <c r="AA78" s="29"/>
      <c r="AB78" s="139">
        <f>F78</f>
        <v>10</v>
      </c>
      <c r="AC78" s="141">
        <f>IF(J78&gt;=20,20,J78)</f>
        <v>10</v>
      </c>
      <c r="AD78" s="38">
        <f>IFERROR(AC78/N78,0)</f>
        <v>3.5977434952797607E-2</v>
      </c>
    </row>
    <row r="79" spans="1:34" ht="12.95" customHeight="1">
      <c r="A79" s="6"/>
      <c r="B79" s="566" t="str">
        <f>B69</f>
        <v>매립층-2</v>
      </c>
      <c r="C79" s="567"/>
      <c r="D79" s="567"/>
      <c r="E79" s="567"/>
      <c r="F79" s="568">
        <f>F69</f>
        <v>15</v>
      </c>
      <c r="G79" s="568"/>
      <c r="H79" s="568"/>
      <c r="I79" s="568"/>
      <c r="J79" s="313">
        <f>J69</f>
        <v>5</v>
      </c>
      <c r="K79" s="313"/>
      <c r="L79" s="313"/>
      <c r="M79" s="313"/>
      <c r="N79" s="569">
        <f>IF(ISBLANK(U53),"",U53)</f>
        <v>177.73599999999999</v>
      </c>
      <c r="O79" s="569"/>
      <c r="P79" s="569"/>
      <c r="Q79" s="569"/>
      <c r="R79" s="574">
        <f>IF(B79="","",ROUND(J79/N79,5))</f>
        <v>2.8129999999999999E-2</v>
      </c>
      <c r="S79" s="574"/>
      <c r="T79" s="574"/>
      <c r="U79" s="574"/>
      <c r="V79" s="575"/>
      <c r="W79" s="575"/>
      <c r="X79" s="575"/>
      <c r="Y79" s="576"/>
      <c r="Z79" s="6"/>
      <c r="AA79" s="29"/>
      <c r="AB79" s="139">
        <f>F79</f>
        <v>15</v>
      </c>
      <c r="AC79" s="141">
        <f>IF(J78&gt;=20,"20m 초과",IF(SUM(J78:J79)&gt;=20,(20-J78),J79))</f>
        <v>5</v>
      </c>
      <c r="AD79" s="38">
        <f>IFERROR(AC79/N79,0)</f>
        <v>2.8131610928568217E-2</v>
      </c>
    </row>
    <row r="80" spans="1:34" ht="12.95" customHeight="1">
      <c r="A80" s="6"/>
      <c r="B80" s="566" t="str">
        <f>B70</f>
        <v/>
      </c>
      <c r="C80" s="567"/>
      <c r="D80" s="567"/>
      <c r="E80" s="567"/>
      <c r="F80" s="568" t="str">
        <f>F70</f>
        <v/>
      </c>
      <c r="G80" s="568"/>
      <c r="H80" s="568"/>
      <c r="I80" s="568"/>
      <c r="J80" s="313" t="str">
        <f>J70</f>
        <v/>
      </c>
      <c r="K80" s="313"/>
      <c r="L80" s="313"/>
      <c r="M80" s="313"/>
      <c r="N80" s="569" t="str">
        <f>IF(ISBLANK(U54),"",U54)</f>
        <v/>
      </c>
      <c r="O80" s="569"/>
      <c r="P80" s="569"/>
      <c r="Q80" s="569"/>
      <c r="R80" s="574" t="str">
        <f>IF(B80="","",ROUND(J80/N80,5))</f>
        <v/>
      </c>
      <c r="S80" s="574"/>
      <c r="T80" s="574"/>
      <c r="U80" s="574"/>
      <c r="V80" s="575"/>
      <c r="W80" s="575"/>
      <c r="X80" s="575"/>
      <c r="Y80" s="576"/>
      <c r="Z80" s="6"/>
      <c r="AA80" s="29"/>
      <c r="AB80" s="139" t="str">
        <f>F80</f>
        <v/>
      </c>
      <c r="AC80" s="141" t="str">
        <f>IF(SUM(J78:J79)&gt;=20,"20m 초과",IF(SUM(J78:J80)&gt;=20,(20-SUM(J78:J79)),J80))</f>
        <v/>
      </c>
      <c r="AD80" s="38">
        <f>IFERROR(AC80/N80,0)</f>
        <v>0</v>
      </c>
    </row>
    <row r="81" spans="1:31" ht="12.95" customHeight="1" thickBot="1">
      <c r="A81" s="6"/>
      <c r="B81" s="611" t="str">
        <f>B71</f>
        <v/>
      </c>
      <c r="C81" s="609"/>
      <c r="D81" s="609"/>
      <c r="E81" s="609"/>
      <c r="F81" s="655" t="str">
        <f>F71</f>
        <v/>
      </c>
      <c r="G81" s="655"/>
      <c r="H81" s="655"/>
      <c r="I81" s="655"/>
      <c r="J81" s="359" t="str">
        <f>J71</f>
        <v/>
      </c>
      <c r="K81" s="359"/>
      <c r="L81" s="359"/>
      <c r="M81" s="359"/>
      <c r="N81" s="607" t="str">
        <f>IF(ISBLANK(U55),"",U55)</f>
        <v/>
      </c>
      <c r="O81" s="607"/>
      <c r="P81" s="607"/>
      <c r="Q81" s="607"/>
      <c r="R81" s="563" t="str">
        <f>IF(B81="","",ROUND(J81/N81,5))</f>
        <v/>
      </c>
      <c r="S81" s="563"/>
      <c r="T81" s="563"/>
      <c r="U81" s="563"/>
      <c r="V81" s="564"/>
      <c r="W81" s="564"/>
      <c r="X81" s="564"/>
      <c r="Y81" s="565"/>
      <c r="Z81" s="6"/>
      <c r="AA81" s="29"/>
      <c r="AB81" s="140" t="str">
        <f>F81</f>
        <v/>
      </c>
      <c r="AC81" s="142" t="str">
        <f>IF(SUM(J78:J80)&gt;=20,"20m 초과",IF(SUM(J78:J81)&gt;=20,(20-SUM(J78:J80)),J81))</f>
        <v/>
      </c>
      <c r="AD81" s="39">
        <f>IFERROR(AC81/N81,0)</f>
        <v>0</v>
      </c>
    </row>
    <row r="82" spans="1:31" ht="12.95" customHeight="1">
      <c r="A82" s="6"/>
      <c r="B82" s="64" t="s">
        <v>562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29"/>
      <c r="AC82" s="6"/>
    </row>
    <row r="83" spans="1:31" ht="12.95" customHeight="1">
      <c r="A83" s="6"/>
      <c r="B83" s="64" t="s">
        <v>563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29"/>
      <c r="AC83" s="6"/>
    </row>
    <row r="84" spans="1:31" ht="9.9499999999999993" customHeight="1">
      <c r="A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29"/>
    </row>
    <row r="85" spans="1:31" ht="12.95" customHeight="1">
      <c r="A85" s="6"/>
      <c r="B85" s="6" t="s">
        <v>131</v>
      </c>
      <c r="C85" s="6"/>
      <c r="D85" s="6"/>
      <c r="E85" s="6"/>
      <c r="F85" s="6"/>
      <c r="G85" s="6"/>
      <c r="H85" s="6"/>
      <c r="I85" s="6"/>
      <c r="J85" s="30"/>
      <c r="K85" s="40"/>
      <c r="L85" s="40"/>
      <c r="M85" s="4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29"/>
      <c r="AB85" s="35"/>
      <c r="AC85" s="6"/>
      <c r="AD85" s="7"/>
    </row>
    <row r="86" spans="1:31" ht="12.95" customHeight="1">
      <c r="A86" s="6"/>
      <c r="B86" s="467" t="s">
        <v>54</v>
      </c>
      <c r="C86" s="469"/>
      <c r="D86" s="469"/>
      <c r="E86" s="469"/>
      <c r="F86" s="469" t="s">
        <v>55</v>
      </c>
      <c r="G86" s="469"/>
      <c r="H86" s="469"/>
      <c r="I86" s="469"/>
      <c r="J86" s="469"/>
      <c r="K86" s="469"/>
      <c r="L86" s="469"/>
      <c r="M86" s="469" t="s">
        <v>56</v>
      </c>
      <c r="N86" s="469"/>
      <c r="O86" s="469"/>
      <c r="P86" s="469"/>
      <c r="Q86" s="469"/>
      <c r="R86" s="469"/>
      <c r="S86" s="469"/>
      <c r="T86" s="469"/>
      <c r="U86" s="469"/>
      <c r="V86" s="469"/>
      <c r="W86" s="469"/>
      <c r="X86" s="469"/>
      <c r="Y86" s="470"/>
      <c r="Z86" s="6"/>
      <c r="AA86" s="29"/>
      <c r="AC86" s="6"/>
    </row>
    <row r="87" spans="1:31" ht="12.95" customHeight="1">
      <c r="A87" s="6"/>
      <c r="B87" s="540"/>
      <c r="C87" s="541"/>
      <c r="D87" s="541"/>
      <c r="E87" s="541"/>
      <c r="F87" s="541"/>
      <c r="G87" s="541"/>
      <c r="H87" s="541"/>
      <c r="I87" s="541"/>
      <c r="J87" s="541"/>
      <c r="K87" s="541"/>
      <c r="L87" s="541"/>
      <c r="M87" s="541" t="s">
        <v>57</v>
      </c>
      <c r="N87" s="541"/>
      <c r="O87" s="541"/>
      <c r="P87" s="541"/>
      <c r="Q87" s="541"/>
      <c r="R87" s="541"/>
      <c r="S87" s="541" t="s">
        <v>58</v>
      </c>
      <c r="T87" s="541"/>
      <c r="U87" s="541"/>
      <c r="V87" s="541"/>
      <c r="W87" s="541"/>
      <c r="X87" s="541"/>
      <c r="Y87" s="544"/>
      <c r="Z87" s="6"/>
      <c r="AA87" s="29"/>
    </row>
    <row r="88" spans="1:31" ht="15" customHeight="1">
      <c r="A88" s="6"/>
      <c r="B88" s="577" t="s">
        <v>59</v>
      </c>
      <c r="C88" s="578"/>
      <c r="D88" s="578"/>
      <c r="E88" s="578"/>
      <c r="F88" s="578" t="s">
        <v>60</v>
      </c>
      <c r="G88" s="578"/>
      <c r="H88" s="578"/>
      <c r="I88" s="578"/>
      <c r="J88" s="578"/>
      <c r="K88" s="578"/>
      <c r="L88" s="578"/>
      <c r="M88" s="578" t="s">
        <v>61</v>
      </c>
      <c r="N88" s="578"/>
      <c r="O88" s="578"/>
      <c r="P88" s="578"/>
      <c r="Q88" s="578"/>
      <c r="R88" s="578"/>
      <c r="S88" s="578" t="s">
        <v>7</v>
      </c>
      <c r="T88" s="578"/>
      <c r="U88" s="578"/>
      <c r="V88" s="578"/>
      <c r="W88" s="578"/>
      <c r="X88" s="578"/>
      <c r="Y88" s="579"/>
      <c r="Z88" s="6"/>
      <c r="AA88" s="29"/>
      <c r="AB88" s="41" t="s">
        <v>62</v>
      </c>
      <c r="AC88" s="42">
        <f>IF(K64&lt;1,1,IF(AND(K64&gt;=1,K64&lt;20,K65&gt;=260),2,IF(AND(K64&gt;=1,K64&lt;20,K65&lt;260),3,IF(AND(K64&gt;=20,K65&gt;=180),4,5))))</f>
        <v>2</v>
      </c>
      <c r="AE88" s="7"/>
    </row>
    <row r="89" spans="1:31" ht="15" customHeight="1">
      <c r="A89" s="6"/>
      <c r="B89" s="495" t="s">
        <v>63</v>
      </c>
      <c r="C89" s="496"/>
      <c r="D89" s="496"/>
      <c r="E89" s="496"/>
      <c r="F89" s="496" t="s">
        <v>64</v>
      </c>
      <c r="G89" s="496"/>
      <c r="H89" s="496"/>
      <c r="I89" s="496"/>
      <c r="J89" s="496"/>
      <c r="K89" s="496"/>
      <c r="L89" s="496"/>
      <c r="M89" s="496" t="s">
        <v>65</v>
      </c>
      <c r="N89" s="496"/>
      <c r="O89" s="496"/>
      <c r="P89" s="496"/>
      <c r="Q89" s="496"/>
      <c r="R89" s="496"/>
      <c r="S89" s="496" t="s">
        <v>66</v>
      </c>
      <c r="T89" s="496"/>
      <c r="U89" s="496"/>
      <c r="V89" s="496"/>
      <c r="W89" s="496"/>
      <c r="X89" s="496"/>
      <c r="Y89" s="499"/>
      <c r="Z89" s="6"/>
      <c r="AA89" s="29"/>
      <c r="AC89" s="6"/>
    </row>
    <row r="90" spans="1:31" ht="15" customHeight="1">
      <c r="A90" s="6"/>
      <c r="B90" s="495" t="s">
        <v>67</v>
      </c>
      <c r="C90" s="496"/>
      <c r="D90" s="496"/>
      <c r="E90" s="496"/>
      <c r="F90" s="496" t="s">
        <v>68</v>
      </c>
      <c r="G90" s="496"/>
      <c r="H90" s="496"/>
      <c r="I90" s="496"/>
      <c r="J90" s="496"/>
      <c r="K90" s="496"/>
      <c r="L90" s="496"/>
      <c r="M90" s="496"/>
      <c r="N90" s="496"/>
      <c r="O90" s="496"/>
      <c r="P90" s="496"/>
      <c r="Q90" s="496"/>
      <c r="R90" s="496"/>
      <c r="S90" s="496" t="s">
        <v>69</v>
      </c>
      <c r="T90" s="496"/>
      <c r="U90" s="496"/>
      <c r="V90" s="496"/>
      <c r="W90" s="496"/>
      <c r="X90" s="496"/>
      <c r="Y90" s="499"/>
      <c r="Z90" s="6"/>
      <c r="AA90" s="29"/>
      <c r="AC90" s="6"/>
    </row>
    <row r="91" spans="1:31" ht="15" customHeight="1">
      <c r="A91" s="6"/>
      <c r="B91" s="495" t="s">
        <v>70</v>
      </c>
      <c r="C91" s="496"/>
      <c r="D91" s="496"/>
      <c r="E91" s="496"/>
      <c r="F91" s="496" t="s">
        <v>71</v>
      </c>
      <c r="G91" s="496"/>
      <c r="H91" s="496"/>
      <c r="I91" s="496"/>
      <c r="J91" s="496"/>
      <c r="K91" s="496"/>
      <c r="L91" s="496"/>
      <c r="M91" s="496" t="s">
        <v>72</v>
      </c>
      <c r="N91" s="496"/>
      <c r="O91" s="496"/>
      <c r="P91" s="496"/>
      <c r="Q91" s="496"/>
      <c r="R91" s="496"/>
      <c r="S91" s="496" t="s">
        <v>73</v>
      </c>
      <c r="T91" s="496"/>
      <c r="U91" s="496"/>
      <c r="V91" s="496"/>
      <c r="W91" s="496"/>
      <c r="X91" s="496"/>
      <c r="Y91" s="499"/>
      <c r="Z91" s="6"/>
      <c r="AA91" s="29"/>
      <c r="AC91" s="6"/>
    </row>
    <row r="92" spans="1:31" ht="15" customHeight="1">
      <c r="A92" s="6"/>
      <c r="B92" s="495" t="s">
        <v>74</v>
      </c>
      <c r="C92" s="496"/>
      <c r="D92" s="496"/>
      <c r="E92" s="496"/>
      <c r="F92" s="496" t="s">
        <v>75</v>
      </c>
      <c r="G92" s="496"/>
      <c r="H92" s="496"/>
      <c r="I92" s="496"/>
      <c r="J92" s="496"/>
      <c r="K92" s="496"/>
      <c r="L92" s="496"/>
      <c r="M92" s="496"/>
      <c r="N92" s="496"/>
      <c r="O92" s="496"/>
      <c r="P92" s="496"/>
      <c r="Q92" s="496"/>
      <c r="R92" s="496"/>
      <c r="S92" s="496" t="s">
        <v>76</v>
      </c>
      <c r="T92" s="496"/>
      <c r="U92" s="496"/>
      <c r="V92" s="496"/>
      <c r="W92" s="496"/>
      <c r="X92" s="496"/>
      <c r="Y92" s="499"/>
      <c r="Z92" s="6"/>
      <c r="AA92" s="29"/>
      <c r="AC92" s="6"/>
    </row>
    <row r="93" spans="1:31" ht="15" customHeight="1">
      <c r="A93" s="6"/>
      <c r="B93" s="497" t="s">
        <v>77</v>
      </c>
      <c r="C93" s="498"/>
      <c r="D93" s="498"/>
      <c r="E93" s="498"/>
      <c r="F93" s="498" t="s">
        <v>78</v>
      </c>
      <c r="G93" s="498"/>
      <c r="H93" s="498"/>
      <c r="I93" s="498"/>
      <c r="J93" s="498"/>
      <c r="K93" s="498"/>
      <c r="L93" s="498"/>
      <c r="M93" s="498"/>
      <c r="N93" s="498"/>
      <c r="O93" s="498"/>
      <c r="P93" s="498"/>
      <c r="Q93" s="498"/>
      <c r="R93" s="498"/>
      <c r="S93" s="498"/>
      <c r="T93" s="498"/>
      <c r="U93" s="498"/>
      <c r="V93" s="498"/>
      <c r="W93" s="498"/>
      <c r="X93" s="498"/>
      <c r="Y93" s="500"/>
      <c r="Z93" s="6"/>
      <c r="AA93" s="29"/>
      <c r="AC93" s="6"/>
    </row>
    <row r="94" spans="1:31" ht="12.95" customHeight="1">
      <c r="A94" s="6"/>
      <c r="B94" s="6" t="s">
        <v>79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29"/>
      <c r="AC94" s="6"/>
    </row>
    <row r="95" spans="1:31" ht="12.95" customHeight="1">
      <c r="A95" s="6"/>
      <c r="B95" s="6" t="s">
        <v>99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29"/>
      <c r="AC95" s="6"/>
    </row>
    <row r="96" spans="1:31" ht="9.9499999999999993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29"/>
      <c r="AC96" s="6"/>
    </row>
    <row r="97" spans="1:30" ht="12.95" customHeight="1">
      <c r="A97" s="6"/>
      <c r="B97" s="6" t="s">
        <v>80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29"/>
      <c r="AC97" s="6"/>
    </row>
    <row r="98" spans="1:30" ht="12.95" customHeight="1">
      <c r="A98" s="6"/>
      <c r="B98" s="6" t="s">
        <v>129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29"/>
      <c r="AC98" s="6"/>
    </row>
    <row r="99" spans="1:30" ht="12.95" customHeight="1">
      <c r="A99" s="6"/>
      <c r="B99" s="6" t="s">
        <v>81</v>
      </c>
      <c r="C99" s="6"/>
      <c r="D99" s="6" t="s">
        <v>82</v>
      </c>
      <c r="J99" s="6"/>
      <c r="K99" s="6"/>
      <c r="L99" s="6"/>
      <c r="M99" s="6"/>
      <c r="N99" s="6"/>
      <c r="O99" s="6"/>
      <c r="P99" s="9" t="s">
        <v>1</v>
      </c>
      <c r="Q99" s="580">
        <v>0.11</v>
      </c>
      <c r="R99" s="580"/>
      <c r="S99" s="43" t="s">
        <v>9</v>
      </c>
      <c r="T99" s="580">
        <v>0.56999999999999995</v>
      </c>
      <c r="U99" s="580"/>
      <c r="V99" s="44" t="s">
        <v>1</v>
      </c>
      <c r="W99" s="581">
        <f>Q99*T99</f>
        <v>6.2699999999999992E-2</v>
      </c>
      <c r="X99" s="581"/>
      <c r="Y99" s="6" t="s">
        <v>12</v>
      </c>
      <c r="Z99" s="6"/>
      <c r="AA99" s="29"/>
    </row>
    <row r="100" spans="1:30" ht="12.95" customHeight="1">
      <c r="A100" s="6"/>
      <c r="B100" s="6" t="s">
        <v>83</v>
      </c>
      <c r="C100" s="6"/>
      <c r="D100" s="6" t="s">
        <v>84</v>
      </c>
      <c r="H100" s="9" t="s">
        <v>1</v>
      </c>
      <c r="I100" s="582">
        <f>IF($AC$88=1,1,IF(AC88=2,1.4,IF(AC88=3,1.7,IF(AC88=4,1.6,1.8))))</f>
        <v>1.4</v>
      </c>
      <c r="J100" s="582"/>
      <c r="K100" s="6"/>
      <c r="L100" s="6"/>
      <c r="M100" s="6"/>
      <c r="N100" s="6"/>
      <c r="O100" s="6"/>
      <c r="P100" s="6"/>
      <c r="Q100" s="6"/>
      <c r="R100" s="6"/>
      <c r="S100" s="6"/>
      <c r="T100" s="72"/>
      <c r="U100" s="6"/>
      <c r="V100" s="6"/>
      <c r="W100" s="6"/>
      <c r="X100" s="6"/>
      <c r="Y100" s="6"/>
      <c r="Z100" s="6"/>
      <c r="AA100" s="29"/>
    </row>
    <row r="101" spans="1:30" ht="12.95" customHeight="1">
      <c r="A101" s="6"/>
      <c r="B101" s="6" t="s">
        <v>86</v>
      </c>
      <c r="C101" s="6"/>
      <c r="D101" s="6" t="s">
        <v>87</v>
      </c>
      <c r="H101" s="9" t="s">
        <v>1</v>
      </c>
      <c r="I101" s="582">
        <f>IF($AC$88=1,1,IF(AC88=2,1.5,IF(AC88=3,1.7,IF(AC88=4,2.2,3))))</f>
        <v>1.5</v>
      </c>
      <c r="J101" s="58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29"/>
      <c r="AB101" s="35"/>
      <c r="AC101" s="6"/>
      <c r="AD101" s="37"/>
    </row>
    <row r="102" spans="1:30" ht="5.0999999999999996" customHeight="1">
      <c r="A102" s="6"/>
      <c r="B102" s="6"/>
      <c r="C102" s="6"/>
      <c r="D102" s="6"/>
      <c r="I102" s="30"/>
      <c r="J102" s="30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29"/>
      <c r="AB102" s="35"/>
      <c r="AC102" s="6"/>
      <c r="AD102" s="37"/>
    </row>
    <row r="103" spans="1:30" ht="12.95" customHeight="1">
      <c r="A103" s="6"/>
      <c r="B103" s="6" t="s">
        <v>130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29"/>
      <c r="AC103" s="6"/>
    </row>
    <row r="104" spans="1:30" ht="12.95" customHeight="1">
      <c r="A104" s="6"/>
      <c r="B104" s="6" t="s">
        <v>81</v>
      </c>
      <c r="C104" s="6"/>
      <c r="D104" s="6" t="s">
        <v>82</v>
      </c>
      <c r="J104" s="6"/>
      <c r="K104" s="6"/>
      <c r="L104" s="6"/>
      <c r="M104" s="6"/>
      <c r="N104" s="6"/>
      <c r="O104" s="6"/>
      <c r="P104" s="9" t="s">
        <v>1</v>
      </c>
      <c r="Q104" s="580">
        <v>0.11</v>
      </c>
      <c r="R104" s="580"/>
      <c r="S104" s="43" t="s">
        <v>9</v>
      </c>
      <c r="T104" s="580">
        <v>1.4</v>
      </c>
      <c r="U104" s="580"/>
      <c r="V104" s="44" t="s">
        <v>1</v>
      </c>
      <c r="W104" s="581">
        <f>Q104*T104</f>
        <v>0.154</v>
      </c>
      <c r="X104" s="581"/>
      <c r="Y104" s="6" t="s">
        <v>12</v>
      </c>
      <c r="Z104" s="6"/>
      <c r="AA104" s="29"/>
      <c r="AC104" s="6"/>
    </row>
    <row r="105" spans="1:30" ht="12.95" customHeight="1">
      <c r="A105" s="6"/>
      <c r="B105" s="6" t="s">
        <v>83</v>
      </c>
      <c r="C105" s="6"/>
      <c r="D105" s="6" t="s">
        <v>84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29"/>
      <c r="AC105" s="6"/>
    </row>
    <row r="106" spans="1:30" ht="12.95" customHeight="1">
      <c r="A106" s="6"/>
      <c r="B106" s="6"/>
      <c r="C106" s="6"/>
      <c r="D106" s="240" t="s">
        <v>1</v>
      </c>
      <c r="E106" s="369">
        <f>IF($AC$88=1,1,IF(AC88=2,1.4,IF(AC88=3,1.7,IF(AC88=4,1.6,1.8))))</f>
        <v>1.4</v>
      </c>
      <c r="F106" s="369"/>
      <c r="G106" s="240" t="s">
        <v>3</v>
      </c>
      <c r="H106" s="45" t="s">
        <v>2</v>
      </c>
      <c r="I106" s="584">
        <f>IF($AC$88=1,1,IF(AC88=2,1.4,IF(AC88=3,1.5,IF(AC88=4,1.4,1.3))))</f>
        <v>1.4</v>
      </c>
      <c r="J106" s="584"/>
      <c r="K106" s="46" t="s">
        <v>7</v>
      </c>
      <c r="L106" s="584">
        <f>IF($AC$88=1,1,IF(AC88=2,1.4,IF(AC88=3,1.7,IF(AC88=4,1.6,1.8))))</f>
        <v>1.4</v>
      </c>
      <c r="M106" s="584"/>
      <c r="N106" s="46" t="s">
        <v>4</v>
      </c>
      <c r="O106" s="585" t="s">
        <v>50</v>
      </c>
      <c r="P106" s="240" t="s">
        <v>2</v>
      </c>
      <c r="Q106" s="581">
        <f>W104</f>
        <v>0.154</v>
      </c>
      <c r="R106" s="581"/>
      <c r="S106" s="534" t="s">
        <v>7</v>
      </c>
      <c r="T106" s="586">
        <v>0.1</v>
      </c>
      <c r="U106" s="586"/>
      <c r="V106" s="534" t="s">
        <v>4</v>
      </c>
      <c r="W106" s="587" t="s">
        <v>1</v>
      </c>
      <c r="X106" s="582">
        <f>E106+((I106-L106)/(I107-L107))*(Q106-T106)</f>
        <v>1.4</v>
      </c>
      <c r="Y106" s="582"/>
      <c r="Z106" s="6"/>
      <c r="AA106" s="29"/>
      <c r="AB106" s="35" t="s">
        <v>53</v>
      </c>
      <c r="AC106" s="6"/>
      <c r="AD106" s="37" t="s">
        <v>85</v>
      </c>
    </row>
    <row r="107" spans="1:30" ht="12.95" customHeight="1">
      <c r="A107" s="6"/>
      <c r="B107" s="6"/>
      <c r="C107" s="6"/>
      <c r="D107" s="240"/>
      <c r="E107" s="369"/>
      <c r="F107" s="369"/>
      <c r="G107" s="240"/>
      <c r="H107" s="9" t="s">
        <v>2</v>
      </c>
      <c r="I107" s="583">
        <v>0.2</v>
      </c>
      <c r="J107" s="583"/>
      <c r="K107" s="30" t="s">
        <v>7</v>
      </c>
      <c r="L107" s="583">
        <v>0.1</v>
      </c>
      <c r="M107" s="583"/>
      <c r="N107" s="30" t="s">
        <v>4</v>
      </c>
      <c r="O107" s="585"/>
      <c r="P107" s="240"/>
      <c r="Q107" s="581"/>
      <c r="R107" s="581"/>
      <c r="S107" s="534"/>
      <c r="T107" s="586"/>
      <c r="U107" s="586"/>
      <c r="V107" s="534"/>
      <c r="W107" s="587"/>
      <c r="X107" s="582"/>
      <c r="Y107" s="582"/>
      <c r="Z107" s="6"/>
      <c r="AA107" s="29"/>
    </row>
    <row r="108" spans="1:30" ht="12.95" customHeight="1">
      <c r="A108" s="6"/>
      <c r="B108" s="6" t="s">
        <v>86</v>
      </c>
      <c r="C108" s="6"/>
      <c r="D108" s="6" t="s">
        <v>87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29"/>
      <c r="AC108" s="6"/>
    </row>
    <row r="109" spans="1:30" ht="12.95" customHeight="1">
      <c r="A109" s="6"/>
      <c r="B109" s="6"/>
      <c r="C109" s="6"/>
      <c r="D109" s="240" t="s">
        <v>1</v>
      </c>
      <c r="E109" s="369">
        <f>IF($AC$88=1,1,IF(AC88=2,1.5,IF(AC88=3,1.7,IF(AC88=4,2.2,3))))</f>
        <v>1.5</v>
      </c>
      <c r="F109" s="369"/>
      <c r="G109" s="240" t="s">
        <v>3</v>
      </c>
      <c r="H109" s="45" t="s">
        <v>2</v>
      </c>
      <c r="I109" s="584">
        <f>IF($AC$88=1,1,IF(AC88=2,1.4,IF(AC88=3,1.6,IF(AC88=4,2,2.7))))</f>
        <v>1.4</v>
      </c>
      <c r="J109" s="584"/>
      <c r="K109" s="46" t="s">
        <v>7</v>
      </c>
      <c r="L109" s="584">
        <f>IF($AC$88=1,1,IF(AC88=2,1.5,IF(AC88=3,1.7,IF(AC88=4,2.2,3))))</f>
        <v>1.5</v>
      </c>
      <c r="M109" s="584"/>
      <c r="N109" s="46" t="s">
        <v>4</v>
      </c>
      <c r="O109" s="585" t="s">
        <v>50</v>
      </c>
      <c r="P109" s="240" t="s">
        <v>2</v>
      </c>
      <c r="Q109" s="581">
        <f>W104</f>
        <v>0.154</v>
      </c>
      <c r="R109" s="581"/>
      <c r="S109" s="534" t="s">
        <v>7</v>
      </c>
      <c r="T109" s="586">
        <v>0.1</v>
      </c>
      <c r="U109" s="586"/>
      <c r="V109" s="534" t="s">
        <v>4</v>
      </c>
      <c r="W109" s="587" t="s">
        <v>1</v>
      </c>
      <c r="X109" s="582">
        <f>E109+((I109-L109)/(I110-L110))*(Q109-T109)</f>
        <v>1.446</v>
      </c>
      <c r="Y109" s="582"/>
      <c r="Z109" s="6"/>
      <c r="AA109" s="29"/>
      <c r="AC109" s="6"/>
    </row>
    <row r="110" spans="1:30" ht="12.95" customHeight="1">
      <c r="A110" s="6"/>
      <c r="B110" s="6"/>
      <c r="C110" s="6"/>
      <c r="D110" s="240"/>
      <c r="E110" s="369"/>
      <c r="F110" s="369"/>
      <c r="G110" s="240"/>
      <c r="H110" s="9" t="s">
        <v>2</v>
      </c>
      <c r="I110" s="583">
        <v>0.2</v>
      </c>
      <c r="J110" s="583"/>
      <c r="K110" s="30" t="s">
        <v>7</v>
      </c>
      <c r="L110" s="583">
        <v>0.1</v>
      </c>
      <c r="M110" s="583"/>
      <c r="N110" s="30" t="s">
        <v>4</v>
      </c>
      <c r="O110" s="585"/>
      <c r="P110" s="240"/>
      <c r="Q110" s="581"/>
      <c r="R110" s="581"/>
      <c r="S110" s="534"/>
      <c r="T110" s="586"/>
      <c r="U110" s="586"/>
      <c r="V110" s="534"/>
      <c r="W110" s="587"/>
      <c r="X110" s="582"/>
      <c r="Y110" s="582"/>
      <c r="Z110" s="6"/>
      <c r="AA110" s="29"/>
      <c r="AC110" s="6"/>
    </row>
    <row r="111" spans="1:30" ht="5.0999999999999996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29"/>
      <c r="AC111" s="6"/>
    </row>
    <row r="112" spans="1:30" ht="12.95" customHeight="1">
      <c r="A112" s="6"/>
      <c r="B112" s="501" t="s">
        <v>62</v>
      </c>
      <c r="C112" s="502"/>
      <c r="D112" s="502"/>
      <c r="E112" s="502"/>
      <c r="F112" s="502" t="s">
        <v>88</v>
      </c>
      <c r="G112" s="502"/>
      <c r="H112" s="502"/>
      <c r="I112" s="502"/>
      <c r="J112" s="502"/>
      <c r="K112" s="502"/>
      <c r="L112" s="502"/>
      <c r="M112" s="502"/>
      <c r="N112" s="502"/>
      <c r="O112" s="502" t="s">
        <v>89</v>
      </c>
      <c r="P112" s="502"/>
      <c r="Q112" s="502"/>
      <c r="R112" s="502"/>
      <c r="S112" s="502"/>
      <c r="T112" s="502"/>
      <c r="U112" s="502"/>
      <c r="V112" s="502"/>
      <c r="W112" s="502"/>
      <c r="X112" s="502" t="s">
        <v>10</v>
      </c>
      <c r="Y112" s="505"/>
      <c r="Z112" s="6"/>
      <c r="AA112" s="29"/>
      <c r="AC112" s="6"/>
    </row>
    <row r="113" spans="1:29" ht="12.95" customHeight="1">
      <c r="A113" s="6"/>
      <c r="B113" s="503"/>
      <c r="C113" s="504"/>
      <c r="D113" s="504"/>
      <c r="E113" s="504"/>
      <c r="F113" s="504" t="s">
        <v>90</v>
      </c>
      <c r="G113" s="504"/>
      <c r="H113" s="504"/>
      <c r="I113" s="504" t="s">
        <v>91</v>
      </c>
      <c r="J113" s="504"/>
      <c r="K113" s="504"/>
      <c r="L113" s="504" t="s">
        <v>92</v>
      </c>
      <c r="M113" s="504"/>
      <c r="N113" s="504"/>
      <c r="O113" s="504" t="s">
        <v>90</v>
      </c>
      <c r="P113" s="504"/>
      <c r="Q113" s="504"/>
      <c r="R113" s="504" t="s">
        <v>91</v>
      </c>
      <c r="S113" s="504"/>
      <c r="T113" s="504"/>
      <c r="U113" s="504" t="s">
        <v>92</v>
      </c>
      <c r="V113" s="504"/>
      <c r="W113" s="504"/>
      <c r="X113" s="504"/>
      <c r="Y113" s="506"/>
      <c r="Z113" s="6"/>
      <c r="AA113" s="29"/>
      <c r="AC113" s="6"/>
    </row>
    <row r="114" spans="1:29" ht="15" customHeight="1">
      <c r="A114" s="6"/>
      <c r="B114" s="566" t="s">
        <v>63</v>
      </c>
      <c r="C114" s="567"/>
      <c r="D114" s="567"/>
      <c r="E114" s="567"/>
      <c r="F114" s="588">
        <v>1.4</v>
      </c>
      <c r="G114" s="588"/>
      <c r="H114" s="588"/>
      <c r="I114" s="588">
        <v>1.4</v>
      </c>
      <c r="J114" s="588"/>
      <c r="K114" s="588"/>
      <c r="L114" s="588">
        <v>1.3</v>
      </c>
      <c r="M114" s="588"/>
      <c r="N114" s="588"/>
      <c r="O114" s="588">
        <v>1.5</v>
      </c>
      <c r="P114" s="588"/>
      <c r="Q114" s="588"/>
      <c r="R114" s="588">
        <v>1.4</v>
      </c>
      <c r="S114" s="588"/>
      <c r="T114" s="588"/>
      <c r="U114" s="588">
        <v>1.3</v>
      </c>
      <c r="V114" s="588"/>
      <c r="W114" s="588"/>
      <c r="X114" s="567"/>
      <c r="Y114" s="589"/>
      <c r="Z114" s="6"/>
      <c r="AA114" s="29"/>
      <c r="AC114" s="6"/>
    </row>
    <row r="115" spans="1:29" ht="15" customHeight="1">
      <c r="A115" s="6"/>
      <c r="B115" s="486" t="s">
        <v>67</v>
      </c>
      <c r="C115" s="487"/>
      <c r="D115" s="487"/>
      <c r="E115" s="487"/>
      <c r="F115" s="590">
        <v>1.7</v>
      </c>
      <c r="G115" s="590"/>
      <c r="H115" s="590"/>
      <c r="I115" s="590">
        <v>1.5</v>
      </c>
      <c r="J115" s="590"/>
      <c r="K115" s="590"/>
      <c r="L115" s="590">
        <v>1.3</v>
      </c>
      <c r="M115" s="590"/>
      <c r="N115" s="590"/>
      <c r="O115" s="590">
        <v>1.7</v>
      </c>
      <c r="P115" s="590"/>
      <c r="Q115" s="590"/>
      <c r="R115" s="590">
        <v>1.6</v>
      </c>
      <c r="S115" s="590"/>
      <c r="T115" s="590"/>
      <c r="U115" s="590">
        <v>1.5</v>
      </c>
      <c r="V115" s="590"/>
      <c r="W115" s="590"/>
      <c r="X115" s="487"/>
      <c r="Y115" s="493"/>
      <c r="Z115" s="6"/>
      <c r="AA115" s="29"/>
      <c r="AC115" s="6"/>
    </row>
    <row r="116" spans="1:29" ht="15" customHeight="1">
      <c r="A116" s="6"/>
      <c r="B116" s="486" t="s">
        <v>70</v>
      </c>
      <c r="C116" s="487"/>
      <c r="D116" s="487"/>
      <c r="E116" s="487"/>
      <c r="F116" s="590">
        <v>1.6</v>
      </c>
      <c r="G116" s="590"/>
      <c r="H116" s="590"/>
      <c r="I116" s="590">
        <v>1.4</v>
      </c>
      <c r="J116" s="590"/>
      <c r="K116" s="590"/>
      <c r="L116" s="590">
        <v>1.2</v>
      </c>
      <c r="M116" s="590"/>
      <c r="N116" s="590"/>
      <c r="O116" s="590">
        <v>2.2000000000000002</v>
      </c>
      <c r="P116" s="590"/>
      <c r="Q116" s="590"/>
      <c r="R116" s="590">
        <v>2</v>
      </c>
      <c r="S116" s="590"/>
      <c r="T116" s="590"/>
      <c r="U116" s="590">
        <v>1.8</v>
      </c>
      <c r="V116" s="590"/>
      <c r="W116" s="590"/>
      <c r="X116" s="487"/>
      <c r="Y116" s="493"/>
      <c r="Z116" s="6"/>
      <c r="AA116" s="29"/>
      <c r="AC116" s="6"/>
    </row>
    <row r="117" spans="1:29" ht="15" customHeight="1">
      <c r="A117" s="6"/>
      <c r="B117" s="488" t="s">
        <v>74</v>
      </c>
      <c r="C117" s="489"/>
      <c r="D117" s="489"/>
      <c r="E117" s="489"/>
      <c r="F117" s="591">
        <v>1.8</v>
      </c>
      <c r="G117" s="591"/>
      <c r="H117" s="591"/>
      <c r="I117" s="591">
        <v>1.3</v>
      </c>
      <c r="J117" s="591"/>
      <c r="K117" s="591"/>
      <c r="L117" s="591">
        <v>1.3</v>
      </c>
      <c r="M117" s="591"/>
      <c r="N117" s="591"/>
      <c r="O117" s="591">
        <v>3</v>
      </c>
      <c r="P117" s="591"/>
      <c r="Q117" s="591"/>
      <c r="R117" s="591">
        <v>2.7</v>
      </c>
      <c r="S117" s="591"/>
      <c r="T117" s="591"/>
      <c r="U117" s="591">
        <v>2.4</v>
      </c>
      <c r="V117" s="591"/>
      <c r="W117" s="591"/>
      <c r="X117" s="489"/>
      <c r="Y117" s="494"/>
      <c r="Z117" s="6"/>
      <c r="AA117" s="29"/>
      <c r="AC117" s="6"/>
    </row>
    <row r="118" spans="1:29" ht="9.9499999999999993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29"/>
      <c r="AC118" s="6"/>
    </row>
    <row r="119" spans="1:29" ht="12.95" customHeight="1">
      <c r="A119" s="6"/>
      <c r="B119" s="6" t="s">
        <v>93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29"/>
      <c r="AC119" s="6"/>
    </row>
    <row r="120" spans="1:29" ht="12.95" customHeight="1">
      <c r="A120" s="6"/>
      <c r="B120" s="6" t="s">
        <v>129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29"/>
      <c r="AC120" s="6"/>
    </row>
    <row r="121" spans="1:29" ht="12.95" customHeight="1">
      <c r="A121" s="6"/>
      <c r="B121" s="6" t="s">
        <v>81</v>
      </c>
      <c r="C121" s="6"/>
      <c r="D121" s="6" t="s">
        <v>94</v>
      </c>
      <c r="I121" s="6"/>
      <c r="J121" s="6"/>
      <c r="K121" s="6"/>
      <c r="L121" s="6"/>
      <c r="M121" s="6"/>
      <c r="N121" s="6"/>
      <c r="O121" s="6"/>
      <c r="P121" s="6"/>
      <c r="Q121" s="44" t="s">
        <v>1</v>
      </c>
      <c r="R121" s="581">
        <f>W99</f>
        <v>6.2699999999999992E-2</v>
      </c>
      <c r="S121" s="581"/>
      <c r="T121" s="5" t="s">
        <v>12</v>
      </c>
      <c r="U121" s="6"/>
      <c r="V121" s="6"/>
      <c r="W121" s="6"/>
      <c r="X121" s="6"/>
      <c r="Y121" s="6"/>
      <c r="Z121" s="6"/>
      <c r="AA121" s="29"/>
      <c r="AC121" s="6"/>
    </row>
    <row r="122" spans="1:29" ht="12.95" customHeight="1">
      <c r="A122" s="6"/>
      <c r="B122" s="6" t="s">
        <v>95</v>
      </c>
      <c r="C122" s="6"/>
      <c r="D122" s="6" t="s">
        <v>96</v>
      </c>
      <c r="I122" s="6"/>
      <c r="J122" s="6"/>
      <c r="K122" s="6"/>
      <c r="L122" s="587">
        <f>W99</f>
        <v>6.2699999999999992E-2</v>
      </c>
      <c r="M122" s="587"/>
      <c r="N122" s="43" t="s">
        <v>9</v>
      </c>
      <c r="O122" s="582">
        <f>I100</f>
        <v>1.4</v>
      </c>
      <c r="P122" s="534"/>
      <c r="Q122" s="44" t="s">
        <v>1</v>
      </c>
      <c r="R122" s="581">
        <f>ROUND(L122*O122,3)</f>
        <v>8.7999999999999995E-2</v>
      </c>
      <c r="S122" s="581"/>
      <c r="T122" s="5" t="s">
        <v>12</v>
      </c>
      <c r="U122" s="6"/>
      <c r="V122" s="6"/>
      <c r="W122" s="6"/>
      <c r="X122" s="6"/>
      <c r="Y122" s="6"/>
      <c r="Z122" s="6"/>
      <c r="AA122" s="29"/>
      <c r="AC122" s="6"/>
    </row>
    <row r="123" spans="1:29" ht="5.0999999999999996" customHeight="1">
      <c r="A123" s="6"/>
      <c r="B123" s="6"/>
      <c r="C123" s="6"/>
      <c r="D123" s="6"/>
      <c r="I123" s="6"/>
      <c r="J123" s="6"/>
      <c r="K123" s="6"/>
      <c r="L123" s="44"/>
      <c r="M123" s="44"/>
      <c r="N123" s="43"/>
      <c r="O123" s="47"/>
      <c r="P123" s="30"/>
      <c r="Q123" s="44"/>
      <c r="R123" s="48"/>
      <c r="S123" s="48"/>
      <c r="U123" s="6"/>
      <c r="V123" s="6"/>
      <c r="W123" s="6"/>
      <c r="X123" s="6"/>
      <c r="Y123" s="6"/>
      <c r="Z123" s="6"/>
      <c r="AA123" s="29"/>
      <c r="AC123" s="6"/>
    </row>
    <row r="124" spans="1:29" ht="12.95" customHeight="1">
      <c r="A124" s="6"/>
      <c r="B124" s="6" t="s">
        <v>130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29"/>
      <c r="AC124" s="6"/>
    </row>
    <row r="125" spans="1:29" ht="12.95" customHeight="1">
      <c r="A125" s="6"/>
      <c r="B125" s="6" t="s">
        <v>81</v>
      </c>
      <c r="C125" s="6"/>
      <c r="D125" s="6" t="s">
        <v>94</v>
      </c>
      <c r="I125" s="6"/>
      <c r="J125" s="6"/>
      <c r="K125" s="6"/>
      <c r="L125" s="6"/>
      <c r="M125" s="6"/>
      <c r="N125" s="6"/>
      <c r="O125" s="6"/>
      <c r="P125" s="6"/>
      <c r="Q125" s="44" t="s">
        <v>1</v>
      </c>
      <c r="R125" s="581">
        <f>W104</f>
        <v>0.154</v>
      </c>
      <c r="S125" s="581"/>
      <c r="T125" s="5" t="s">
        <v>12</v>
      </c>
      <c r="U125" s="6"/>
      <c r="V125" s="6"/>
      <c r="W125" s="6"/>
      <c r="X125" s="6"/>
      <c r="Y125" s="6"/>
      <c r="Z125" s="6"/>
      <c r="AA125" s="29"/>
      <c r="AC125" s="6"/>
    </row>
    <row r="126" spans="1:29" ht="12.95" customHeight="1">
      <c r="A126" s="6"/>
      <c r="B126" s="6" t="s">
        <v>95</v>
      </c>
      <c r="C126" s="6"/>
      <c r="D126" s="6" t="s">
        <v>96</v>
      </c>
      <c r="I126" s="6"/>
      <c r="J126" s="6"/>
      <c r="K126" s="6"/>
      <c r="L126" s="587">
        <f>W104</f>
        <v>0.154</v>
      </c>
      <c r="M126" s="587"/>
      <c r="N126" s="43" t="s">
        <v>9</v>
      </c>
      <c r="O126" s="582">
        <f>X106</f>
        <v>1.4</v>
      </c>
      <c r="P126" s="534"/>
      <c r="Q126" s="44" t="s">
        <v>1</v>
      </c>
      <c r="R126" s="581">
        <f>ROUND(L126*O126,3)</f>
        <v>0.216</v>
      </c>
      <c r="S126" s="581"/>
      <c r="T126" s="5" t="s">
        <v>12</v>
      </c>
      <c r="U126" s="6"/>
      <c r="V126" s="6"/>
      <c r="W126" s="6"/>
      <c r="X126" s="6"/>
      <c r="Y126" s="6"/>
      <c r="Z126" s="6"/>
      <c r="AA126" s="29"/>
      <c r="AC126" s="6"/>
    </row>
    <row r="127" spans="1:29" ht="12.95" customHeight="1">
      <c r="A127" s="6"/>
      <c r="B127" s="6"/>
      <c r="C127" s="6"/>
      <c r="D127" s="6"/>
      <c r="I127" s="6"/>
      <c r="J127" s="6"/>
      <c r="K127" s="6"/>
      <c r="L127" s="44"/>
      <c r="M127" s="44"/>
      <c r="N127" s="43"/>
      <c r="O127" s="47"/>
      <c r="P127" s="30"/>
      <c r="Q127" s="44"/>
      <c r="R127" s="48"/>
      <c r="S127" s="48"/>
      <c r="U127" s="6"/>
      <c r="V127" s="6"/>
      <c r="W127" s="6"/>
      <c r="X127" s="6"/>
      <c r="Y127" s="6"/>
      <c r="Z127" s="6"/>
      <c r="AA127" s="29"/>
      <c r="AC127" s="6"/>
    </row>
    <row r="128" spans="1:29" ht="12.95" customHeight="1">
      <c r="A128" s="6" t="s">
        <v>342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29"/>
      <c r="AC128" s="6"/>
    </row>
    <row r="129" spans="1:29" ht="12.95" customHeight="1">
      <c r="A129" s="6"/>
      <c r="B129" s="6" t="s">
        <v>344</v>
      </c>
      <c r="C129" s="6"/>
      <c r="D129" s="6"/>
      <c r="I129" s="6"/>
      <c r="J129" s="6"/>
      <c r="K129" s="6"/>
      <c r="L129" s="44"/>
      <c r="M129" s="44"/>
      <c r="N129" s="43"/>
      <c r="O129" s="47"/>
      <c r="P129" s="30"/>
      <c r="Q129" s="44"/>
      <c r="R129" s="48"/>
      <c r="S129" s="48"/>
      <c r="U129" s="6"/>
      <c r="V129" s="6"/>
      <c r="W129" s="6"/>
      <c r="X129" s="6"/>
      <c r="Y129" s="6"/>
      <c r="Z129" s="6"/>
      <c r="AA129" s="29"/>
      <c r="AC129" s="6"/>
    </row>
    <row r="130" spans="1:29" ht="12.95" customHeight="1">
      <c r="A130" s="6"/>
      <c r="B130" s="6" t="s">
        <v>345</v>
      </c>
      <c r="C130" s="6"/>
      <c r="D130" s="6" t="s">
        <v>346</v>
      </c>
      <c r="G130" s="44" t="s">
        <v>1</v>
      </c>
      <c r="H130" s="376">
        <f>R4</f>
        <v>1000</v>
      </c>
      <c r="I130" s="240"/>
      <c r="J130" s="240"/>
      <c r="K130" s="16" t="s">
        <v>220</v>
      </c>
      <c r="L130" s="44"/>
      <c r="M130" s="44"/>
      <c r="N130" s="43"/>
      <c r="O130" s="47"/>
      <c r="P130" s="30"/>
      <c r="Q130" s="44"/>
      <c r="R130" s="48"/>
      <c r="S130" s="48"/>
      <c r="U130" s="6"/>
      <c r="V130" s="6"/>
      <c r="W130" s="6"/>
      <c r="X130" s="6"/>
      <c r="Y130" s="6"/>
      <c r="Z130" s="6"/>
      <c r="AA130" s="29"/>
      <c r="AC130" s="6"/>
    </row>
    <row r="131" spans="1:29" ht="12.95" customHeight="1">
      <c r="A131" s="6"/>
      <c r="B131" s="6" t="s">
        <v>347</v>
      </c>
      <c r="C131" s="6"/>
      <c r="D131" s="6" t="s">
        <v>348</v>
      </c>
      <c r="G131" s="44" t="s">
        <v>1</v>
      </c>
      <c r="H131" s="377">
        <v>0.28000000000000003</v>
      </c>
      <c r="I131" s="377"/>
      <c r="J131" s="377"/>
      <c r="K131" s="16"/>
      <c r="L131" s="44"/>
      <c r="M131" s="44"/>
      <c r="N131" s="43"/>
      <c r="O131" s="47"/>
      <c r="P131" s="30"/>
      <c r="Q131" s="44"/>
      <c r="R131" s="48"/>
      <c r="S131" s="48"/>
      <c r="U131" s="6"/>
      <c r="V131" s="6"/>
      <c r="W131" s="6"/>
      <c r="X131" s="6"/>
      <c r="Y131" s="6"/>
      <c r="Z131" s="6"/>
      <c r="AA131" s="29"/>
      <c r="AC131" s="6"/>
    </row>
    <row r="132" spans="1:29" ht="12.95" customHeight="1">
      <c r="A132" s="6"/>
      <c r="B132" s="6" t="s">
        <v>353</v>
      </c>
      <c r="C132" s="6"/>
      <c r="D132" s="6" t="s">
        <v>354</v>
      </c>
      <c r="G132" s="44" t="s">
        <v>1</v>
      </c>
      <c r="H132" s="377">
        <f>R14</f>
        <v>0.9</v>
      </c>
      <c r="I132" s="377"/>
      <c r="J132" s="377"/>
      <c r="K132" s="16" t="s">
        <v>8</v>
      </c>
      <c r="L132" s="44"/>
      <c r="M132" s="44"/>
      <c r="N132" s="43"/>
      <c r="O132" s="47"/>
      <c r="P132" s="30"/>
      <c r="Q132" s="44"/>
      <c r="R132" s="48"/>
      <c r="S132" s="48"/>
      <c r="U132" s="6"/>
      <c r="V132" s="6"/>
      <c r="W132" s="6"/>
      <c r="X132" s="6"/>
      <c r="Y132" s="6"/>
      <c r="Z132" s="6"/>
      <c r="AA132" s="29"/>
      <c r="AC132" s="6"/>
    </row>
    <row r="133" spans="1:29" ht="12.95" customHeight="1">
      <c r="A133" s="6"/>
      <c r="B133" s="6" t="s">
        <v>349</v>
      </c>
      <c r="C133" s="6"/>
      <c r="D133" s="6" t="s">
        <v>350</v>
      </c>
      <c r="E133" s="6"/>
      <c r="F133" s="6"/>
      <c r="G133" s="44" t="s">
        <v>1</v>
      </c>
      <c r="H133" s="534">
        <f>K13</f>
        <v>13</v>
      </c>
      <c r="I133" s="534"/>
      <c r="J133" s="44" t="s">
        <v>5</v>
      </c>
      <c r="K133" s="534">
        <v>1.1000000000000001</v>
      </c>
      <c r="L133" s="534"/>
      <c r="M133" s="44" t="s">
        <v>1</v>
      </c>
      <c r="N133" s="534">
        <f>ROUND(H133/K133,2)</f>
        <v>11.82</v>
      </c>
      <c r="O133" s="534"/>
      <c r="P133" s="534"/>
      <c r="Q133" s="6" t="s">
        <v>351</v>
      </c>
      <c r="R133" s="44" t="s">
        <v>1</v>
      </c>
      <c r="S133" s="534">
        <f>N133/1000</f>
        <v>1.1820000000000001E-2</v>
      </c>
      <c r="T133" s="534"/>
      <c r="U133" s="534"/>
      <c r="V133" s="6" t="s">
        <v>8</v>
      </c>
      <c r="Y133" s="6"/>
      <c r="Z133" s="6"/>
      <c r="AA133" s="29"/>
      <c r="AC133" s="6"/>
    </row>
    <row r="134" spans="1:29" ht="12.95" customHeight="1">
      <c r="A134" s="6"/>
      <c r="B134" s="6" t="s">
        <v>352</v>
      </c>
      <c r="C134" s="6"/>
      <c r="D134" s="6"/>
      <c r="I134" s="6"/>
      <c r="J134" s="6"/>
      <c r="W134" s="6"/>
      <c r="X134" s="6"/>
      <c r="Y134" s="6"/>
      <c r="Z134" s="6"/>
      <c r="AA134" s="29"/>
      <c r="AC134" s="6"/>
    </row>
    <row r="135" spans="1:29" ht="9.9499999999999993" customHeight="1">
      <c r="A135" s="6"/>
      <c r="B135" s="6"/>
      <c r="C135" s="6"/>
      <c r="D135" s="6"/>
      <c r="I135" s="6"/>
      <c r="J135" s="6"/>
      <c r="K135" s="6"/>
      <c r="L135" s="44"/>
      <c r="M135" s="44"/>
      <c r="N135" s="43"/>
      <c r="O135" s="47"/>
      <c r="P135" s="30"/>
      <c r="Q135" s="44"/>
      <c r="R135" s="48"/>
      <c r="S135" s="48"/>
      <c r="U135" s="6"/>
      <c r="V135" s="6"/>
      <c r="W135" s="6"/>
      <c r="X135" s="6"/>
      <c r="Y135" s="6"/>
      <c r="Z135" s="6"/>
      <c r="AA135" s="29"/>
      <c r="AC135" s="6"/>
    </row>
    <row r="136" spans="1:29" ht="12.95" customHeight="1">
      <c r="A136" s="6"/>
      <c r="B136" s="13" t="s">
        <v>355</v>
      </c>
      <c r="C136" s="6"/>
      <c r="D136" s="6"/>
      <c r="I136" s="6"/>
      <c r="J136" s="6"/>
      <c r="K136" s="6"/>
      <c r="L136" s="44"/>
      <c r="M136" s="44"/>
      <c r="N136" s="43"/>
      <c r="O136" s="47"/>
      <c r="P136" s="30"/>
      <c r="Q136" s="44"/>
      <c r="R136" s="48"/>
      <c r="S136" s="48"/>
      <c r="U136" s="6"/>
      <c r="V136" s="6"/>
      <c r="W136" s="6"/>
      <c r="X136" s="6"/>
      <c r="Y136" s="6"/>
      <c r="Z136" s="6"/>
      <c r="AA136" s="29"/>
      <c r="AC136" s="6"/>
    </row>
    <row r="137" spans="1:29" ht="12.95" customHeight="1">
      <c r="A137" s="6"/>
      <c r="B137" s="61" t="s">
        <v>537</v>
      </c>
      <c r="C137" s="25" t="s">
        <v>207</v>
      </c>
      <c r="D137" s="49" t="s">
        <v>356</v>
      </c>
      <c r="E137" s="43" t="s">
        <v>9</v>
      </c>
      <c r="F137" s="14" t="s">
        <v>357</v>
      </c>
      <c r="G137" s="43" t="s">
        <v>9</v>
      </c>
      <c r="H137" s="50" t="s">
        <v>2</v>
      </c>
      <c r="I137" s="25" t="s">
        <v>328</v>
      </c>
      <c r="J137" s="14" t="s">
        <v>7</v>
      </c>
      <c r="K137" s="25" t="s">
        <v>358</v>
      </c>
      <c r="L137" s="50" t="s">
        <v>4</v>
      </c>
      <c r="M137" s="50" t="s">
        <v>5</v>
      </c>
      <c r="N137" s="25" t="s">
        <v>359</v>
      </c>
      <c r="O137" s="14"/>
      <c r="P137" s="51"/>
      <c r="Q137" s="51"/>
      <c r="R137" s="50"/>
      <c r="S137" s="16"/>
      <c r="T137" s="16"/>
      <c r="U137" s="14"/>
      <c r="V137" s="52"/>
      <c r="W137" s="52"/>
      <c r="X137" s="25"/>
      <c r="Y137" s="6"/>
      <c r="Z137" s="6"/>
      <c r="AA137" s="29"/>
      <c r="AC137" s="6"/>
    </row>
    <row r="138" spans="1:29" ht="12.95" customHeight="1">
      <c r="A138" s="6"/>
      <c r="B138" s="25"/>
      <c r="C138" s="44" t="s">
        <v>1</v>
      </c>
      <c r="D138" s="384">
        <f>H131</f>
        <v>0.28000000000000003</v>
      </c>
      <c r="E138" s="384"/>
      <c r="F138" s="43" t="s">
        <v>9</v>
      </c>
      <c r="G138" s="211">
        <f>H130</f>
        <v>1000</v>
      </c>
      <c r="H138" s="381"/>
      <c r="I138" s="43" t="s">
        <v>9</v>
      </c>
      <c r="J138" s="50" t="s">
        <v>2</v>
      </c>
      <c r="K138" s="385">
        <f>H132</f>
        <v>0.9</v>
      </c>
      <c r="L138" s="381"/>
      <c r="M138" s="14" t="s">
        <v>7</v>
      </c>
      <c r="N138" s="381">
        <f>S133</f>
        <v>1.1820000000000001E-2</v>
      </c>
      <c r="O138" s="381"/>
      <c r="P138" s="25" t="s">
        <v>4</v>
      </c>
      <c r="Q138" s="50" t="s">
        <v>5</v>
      </c>
      <c r="R138" s="381">
        <f>2*S133</f>
        <v>2.3640000000000001E-2</v>
      </c>
      <c r="S138" s="381"/>
      <c r="T138" s="44" t="s">
        <v>1</v>
      </c>
      <c r="U138" s="381">
        <f>ROUND(D138*G138*(K138-N138)/R138,3)</f>
        <v>10519.897999999999</v>
      </c>
      <c r="V138" s="381"/>
      <c r="W138" s="381"/>
      <c r="X138" s="16" t="s">
        <v>220</v>
      </c>
      <c r="Y138" s="6"/>
      <c r="Z138" s="6"/>
      <c r="AA138" s="29"/>
      <c r="AC138" s="6"/>
    </row>
    <row r="139" spans="1:29" ht="12.95" customHeight="1">
      <c r="A139" s="6"/>
      <c r="B139" s="6"/>
      <c r="C139" s="44" t="s">
        <v>1</v>
      </c>
      <c r="D139" s="581">
        <f>ROUND(U138/1000,3)</f>
        <v>10.52</v>
      </c>
      <c r="E139" s="581"/>
      <c r="F139" s="581"/>
      <c r="G139" s="5" t="s">
        <v>327</v>
      </c>
      <c r="I139" s="6"/>
      <c r="J139" s="6"/>
      <c r="K139" s="6"/>
      <c r="L139" s="44"/>
      <c r="M139" s="44"/>
      <c r="N139" s="43"/>
      <c r="O139" s="47"/>
      <c r="P139" s="30"/>
      <c r="Q139" s="44"/>
      <c r="R139" s="48"/>
      <c r="S139" s="48"/>
      <c r="U139" s="6"/>
      <c r="V139" s="6"/>
      <c r="W139" s="6"/>
      <c r="X139" s="6"/>
      <c r="Y139" s="6"/>
      <c r="Z139" s="6"/>
      <c r="AA139" s="29"/>
      <c r="AC139" s="6"/>
    </row>
    <row r="140" spans="1:29" ht="9.9499999999999993" customHeight="1">
      <c r="A140" s="6"/>
      <c r="B140" s="6"/>
      <c r="C140" s="44"/>
      <c r="D140" s="48"/>
      <c r="E140" s="48"/>
      <c r="F140" s="48"/>
      <c r="I140" s="6"/>
      <c r="J140" s="6"/>
      <c r="K140" s="6"/>
      <c r="L140" s="44"/>
      <c r="M140" s="44"/>
      <c r="N140" s="43"/>
      <c r="O140" s="47"/>
      <c r="P140" s="30"/>
      <c r="Q140" s="44"/>
      <c r="R140" s="48"/>
      <c r="S140" s="48"/>
      <c r="U140" s="6"/>
      <c r="V140" s="6"/>
      <c r="W140" s="6"/>
      <c r="X140" s="6"/>
      <c r="Y140" s="6"/>
      <c r="Z140" s="6"/>
      <c r="AA140" s="29"/>
      <c r="AC140" s="6"/>
    </row>
    <row r="141" spans="1:29" ht="12.95" customHeight="1">
      <c r="A141" s="6"/>
      <c r="B141" s="13" t="s">
        <v>360</v>
      </c>
      <c r="C141" s="6"/>
      <c r="D141" s="6"/>
      <c r="I141" s="6"/>
      <c r="J141" s="6"/>
      <c r="K141" s="6"/>
      <c r="L141" s="44"/>
      <c r="M141" s="44"/>
      <c r="N141" s="43"/>
      <c r="O141" s="47"/>
      <c r="P141" s="30"/>
      <c r="Q141" s="44"/>
      <c r="R141" s="48"/>
      <c r="S141" s="48"/>
      <c r="U141" s="6"/>
      <c r="V141" s="6"/>
      <c r="W141" s="6"/>
      <c r="X141" s="6"/>
      <c r="Y141" s="6"/>
      <c r="Z141" s="6"/>
      <c r="AA141" s="29"/>
      <c r="AC141" s="6"/>
    </row>
    <row r="142" spans="1:29" ht="12.95" customHeight="1">
      <c r="A142" s="6"/>
      <c r="B142" s="61" t="s">
        <v>536</v>
      </c>
      <c r="C142" s="25" t="s">
        <v>207</v>
      </c>
      <c r="D142" s="534" t="s">
        <v>339</v>
      </c>
      <c r="E142" s="534"/>
      <c r="F142" s="43" t="s">
        <v>9</v>
      </c>
      <c r="G142" s="593" t="s">
        <v>361</v>
      </c>
      <c r="H142" s="240"/>
      <c r="I142" s="50" t="s">
        <v>5</v>
      </c>
      <c r="J142" s="30" t="s">
        <v>288</v>
      </c>
      <c r="K142" s="25" t="s">
        <v>207</v>
      </c>
      <c r="L142" s="594">
        <f>R15</f>
        <v>6</v>
      </c>
      <c r="M142" s="587"/>
      <c r="N142" s="43" t="s">
        <v>9</v>
      </c>
      <c r="O142" s="581">
        <f>U138</f>
        <v>10519.897999999999</v>
      </c>
      <c r="P142" s="581"/>
      <c r="Q142" s="581"/>
      <c r="R142" s="50" t="s">
        <v>5</v>
      </c>
      <c r="S142" s="581">
        <f>R12</f>
        <v>160000000</v>
      </c>
      <c r="T142" s="581"/>
      <c r="U142" s="581"/>
      <c r="V142" s="581"/>
      <c r="W142" s="6"/>
      <c r="X142" s="6"/>
      <c r="Y142" s="6"/>
      <c r="Z142" s="6"/>
      <c r="AA142" s="29"/>
      <c r="AC142" s="6"/>
    </row>
    <row r="143" spans="1:29" ht="12.95" customHeight="1">
      <c r="A143" s="6"/>
      <c r="B143" s="6"/>
      <c r="C143" s="25" t="s">
        <v>207</v>
      </c>
      <c r="D143" s="592">
        <f>(L142*O142)/S142</f>
        <v>3.9449617499999994E-4</v>
      </c>
      <c r="E143" s="592"/>
      <c r="F143" s="592"/>
      <c r="G143" s="5" t="s">
        <v>8</v>
      </c>
      <c r="I143" s="6"/>
      <c r="J143" s="6"/>
      <c r="K143" s="6"/>
      <c r="L143" s="44"/>
      <c r="M143" s="44"/>
      <c r="N143" s="43"/>
      <c r="O143" s="47"/>
      <c r="P143" s="30"/>
      <c r="Q143" s="44"/>
      <c r="R143" s="48"/>
      <c r="S143" s="48"/>
      <c r="U143" s="6"/>
      <c r="V143" s="6"/>
      <c r="W143" s="6"/>
      <c r="X143" s="6"/>
      <c r="Y143" s="6"/>
      <c r="Z143" s="6"/>
      <c r="AA143" s="29"/>
      <c r="AC143" s="6"/>
    </row>
    <row r="144" spans="1:29" ht="12.9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29"/>
      <c r="AC144" s="6"/>
    </row>
    <row r="145" spans="1:29" ht="12.95" customHeight="1">
      <c r="A145" s="6"/>
      <c r="B145" s="6" t="s">
        <v>362</v>
      </c>
      <c r="C145" s="6"/>
      <c r="D145" s="6"/>
      <c r="I145" s="6"/>
      <c r="J145" s="6"/>
      <c r="K145" s="6"/>
      <c r="L145" s="44"/>
      <c r="M145" s="44"/>
      <c r="N145" s="43"/>
      <c r="O145" s="47"/>
      <c r="P145" s="30"/>
      <c r="Q145" s="44"/>
      <c r="R145" s="48"/>
      <c r="S145" s="48"/>
      <c r="X145" s="6"/>
      <c r="Y145" s="6"/>
      <c r="Z145" s="6"/>
      <c r="AA145" s="29"/>
      <c r="AC145" s="6"/>
    </row>
    <row r="146" spans="1:29" ht="12.95" customHeight="1">
      <c r="A146" s="6"/>
      <c r="B146" s="6" t="s">
        <v>365</v>
      </c>
      <c r="C146" s="6"/>
      <c r="D146" s="6" t="s">
        <v>367</v>
      </c>
      <c r="G146" s="44" t="s">
        <v>1</v>
      </c>
      <c r="H146" s="379">
        <f>R9</f>
        <v>54</v>
      </c>
      <c r="I146" s="379"/>
      <c r="J146" s="379"/>
      <c r="K146" s="16" t="s">
        <v>366</v>
      </c>
      <c r="L146" s="44"/>
      <c r="M146" s="44"/>
      <c r="N146" s="6" t="s">
        <v>375</v>
      </c>
      <c r="O146" s="6"/>
      <c r="P146" s="6" t="s">
        <v>376</v>
      </c>
      <c r="Q146" s="6"/>
      <c r="R146" s="6"/>
      <c r="T146" s="44" t="s">
        <v>1</v>
      </c>
      <c r="U146" s="582">
        <f>IF(H148&lt;1.5,0.5,IF(H148&lt;=6.5,0.65-0.1*H148,0))</f>
        <v>0.5</v>
      </c>
      <c r="V146" s="582"/>
      <c r="W146" s="582"/>
      <c r="X146" s="6"/>
      <c r="Y146" s="6"/>
      <c r="Z146" s="6"/>
      <c r="AA146" s="29"/>
      <c r="AC146" s="6"/>
    </row>
    <row r="147" spans="1:29" ht="12.95" customHeight="1">
      <c r="A147" s="6"/>
      <c r="B147" s="6" t="s">
        <v>368</v>
      </c>
      <c r="C147" s="6"/>
      <c r="D147" s="6" t="s">
        <v>369</v>
      </c>
      <c r="G147" s="44" t="s">
        <v>1</v>
      </c>
      <c r="H147" s="369">
        <v>0.2</v>
      </c>
      <c r="I147" s="369"/>
      <c r="J147" s="369"/>
      <c r="K147" s="6" t="s">
        <v>8</v>
      </c>
      <c r="L147" s="44"/>
      <c r="M147" s="44"/>
      <c r="N147" s="6" t="s">
        <v>388</v>
      </c>
      <c r="O147" s="6"/>
      <c r="P147" s="6" t="s">
        <v>389</v>
      </c>
      <c r="Q147" s="6"/>
      <c r="R147" s="6"/>
      <c r="S147" s="44"/>
      <c r="T147" s="47" t="s">
        <v>1</v>
      </c>
      <c r="U147" s="592">
        <f>R17</f>
        <v>3.2523185324451372E-3</v>
      </c>
      <c r="V147" s="592"/>
      <c r="W147" s="592"/>
      <c r="X147" s="6" t="s">
        <v>390</v>
      </c>
      <c r="Y147" s="6"/>
      <c r="Z147" s="6"/>
      <c r="AA147" s="29"/>
      <c r="AC147" s="6"/>
    </row>
    <row r="148" spans="1:29" ht="12.95" customHeight="1">
      <c r="A148" s="6"/>
      <c r="B148" s="6" t="s">
        <v>370</v>
      </c>
      <c r="C148" s="6"/>
      <c r="D148" s="6" t="s">
        <v>371</v>
      </c>
      <c r="G148" s="44" t="s">
        <v>1</v>
      </c>
      <c r="H148" s="366">
        <f>K5</f>
        <v>1.5</v>
      </c>
      <c r="I148" s="240"/>
      <c r="J148" s="240"/>
      <c r="K148" s="6" t="s">
        <v>8</v>
      </c>
      <c r="L148" s="44"/>
      <c r="M148" s="44"/>
      <c r="N148" s="6" t="s">
        <v>391</v>
      </c>
      <c r="O148" s="6"/>
      <c r="P148" s="6" t="s">
        <v>393</v>
      </c>
      <c r="Q148" s="6"/>
      <c r="R148" s="6"/>
      <c r="S148" s="44"/>
      <c r="T148" s="47" t="s">
        <v>1</v>
      </c>
      <c r="U148" s="592">
        <f>2*U147/R14</f>
        <v>7.2273745165447488E-3</v>
      </c>
      <c r="V148" s="592"/>
      <c r="W148" s="592"/>
      <c r="X148" s="6" t="s">
        <v>394</v>
      </c>
      <c r="Y148" s="6"/>
      <c r="Z148" s="6"/>
      <c r="AA148" s="29"/>
      <c r="AC148" s="6"/>
    </row>
    <row r="149" spans="1:29" ht="12.95" customHeight="1">
      <c r="A149" s="6"/>
      <c r="B149" s="6" t="s">
        <v>372</v>
      </c>
      <c r="C149" s="6"/>
      <c r="D149" s="6" t="s">
        <v>373</v>
      </c>
      <c r="G149" s="44" t="s">
        <v>1</v>
      </c>
      <c r="H149" s="369">
        <v>45</v>
      </c>
      <c r="I149" s="369"/>
      <c r="J149" s="369"/>
      <c r="K149" s="6" t="s">
        <v>374</v>
      </c>
      <c r="L149" s="44"/>
      <c r="M149" s="44"/>
      <c r="N149" s="6" t="s">
        <v>549</v>
      </c>
      <c r="O149" s="47"/>
      <c r="P149" s="6" t="s">
        <v>396</v>
      </c>
      <c r="Q149" s="44"/>
      <c r="R149" s="48"/>
      <c r="S149" s="48"/>
      <c r="T149" s="47" t="s">
        <v>1</v>
      </c>
      <c r="U149" s="534">
        <v>100</v>
      </c>
      <c r="V149" s="534"/>
      <c r="W149" s="534"/>
      <c r="X149" s="6" t="s">
        <v>397</v>
      </c>
      <c r="Y149" s="6"/>
      <c r="Z149" s="6"/>
      <c r="AA149" s="29"/>
      <c r="AC149" s="6"/>
    </row>
    <row r="150" spans="1:29" ht="9.9499999999999993" customHeight="1">
      <c r="A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29"/>
      <c r="AC150" s="6"/>
    </row>
    <row r="151" spans="1:29" ht="12.95" customHeight="1">
      <c r="A151" s="6"/>
      <c r="B151" s="13" t="s">
        <v>377</v>
      </c>
      <c r="C151" s="6"/>
      <c r="D151" s="6"/>
      <c r="I151" s="6"/>
      <c r="J151" s="6"/>
      <c r="K151" s="6"/>
      <c r="L151" s="44"/>
      <c r="M151" s="44"/>
      <c r="N151" s="43"/>
      <c r="O151" s="47"/>
      <c r="P151" s="30"/>
      <c r="Q151" s="44"/>
      <c r="R151" s="48"/>
      <c r="S151" s="48"/>
      <c r="U151" s="6"/>
      <c r="V151" s="6"/>
      <c r="W151" s="6"/>
      <c r="X151" s="6"/>
      <c r="Y151" s="6"/>
      <c r="Z151" s="6"/>
      <c r="AA151" s="29"/>
      <c r="AC151" s="6"/>
    </row>
    <row r="152" spans="1:29" ht="12.95" customHeight="1">
      <c r="A152" s="6"/>
      <c r="B152" s="30" t="s">
        <v>378</v>
      </c>
      <c r="C152" s="25" t="s">
        <v>207</v>
      </c>
      <c r="D152" s="53" t="s">
        <v>2</v>
      </c>
      <c r="E152" s="30">
        <v>2</v>
      </c>
      <c r="F152" s="43" t="s">
        <v>9</v>
      </c>
      <c r="G152" s="9" t="s">
        <v>379</v>
      </c>
      <c r="H152" s="43" t="s">
        <v>9</v>
      </c>
      <c r="I152" s="9" t="s">
        <v>328</v>
      </c>
      <c r="J152" s="6" t="s">
        <v>4</v>
      </c>
      <c r="K152" s="44" t="s">
        <v>5</v>
      </c>
      <c r="L152" s="53" t="s">
        <v>2</v>
      </c>
      <c r="M152" s="587">
        <v>275</v>
      </c>
      <c r="N152" s="587"/>
      <c r="O152" s="43" t="s">
        <v>9</v>
      </c>
      <c r="P152" s="30" t="s">
        <v>2</v>
      </c>
      <c r="Q152" s="44" t="s">
        <v>380</v>
      </c>
      <c r="R152" s="48" t="s">
        <v>3</v>
      </c>
      <c r="S152" s="54" t="s">
        <v>447</v>
      </c>
      <c r="U152" s="30"/>
      <c r="V152" s="43" t="s">
        <v>9</v>
      </c>
      <c r="W152" s="6" t="s">
        <v>381</v>
      </c>
      <c r="X152" s="6"/>
      <c r="Y152" s="6"/>
      <c r="Z152" s="6"/>
      <c r="AA152" s="29"/>
      <c r="AC152" s="6"/>
    </row>
    <row r="153" spans="1:29" ht="12.95" customHeight="1">
      <c r="A153" s="6"/>
      <c r="B153" s="6"/>
      <c r="C153" s="25" t="s">
        <v>207</v>
      </c>
      <c r="D153" s="581">
        <f>((2*H146*H132)/(275*(H147+2*H148*TAN(RADIANS(H149))))*(1+U146))*100</f>
        <v>16.56818181818182</v>
      </c>
      <c r="E153" s="581"/>
      <c r="F153" s="581"/>
      <c r="G153" s="5" t="s">
        <v>49</v>
      </c>
      <c r="I153" s="25"/>
      <c r="J153" s="55"/>
      <c r="K153" s="55"/>
      <c r="L153" s="55"/>
      <c r="M153" s="44"/>
      <c r="N153" s="43"/>
      <c r="O153" s="47"/>
      <c r="P153" s="30"/>
      <c r="Q153" s="44"/>
      <c r="R153" s="48"/>
      <c r="S153" s="48"/>
      <c r="U153" s="6"/>
      <c r="V153" s="6"/>
      <c r="W153" s="6"/>
      <c r="X153" s="6"/>
      <c r="Y153" s="6"/>
      <c r="Z153" s="6"/>
      <c r="AA153" s="29"/>
      <c r="AC153" s="6"/>
    </row>
    <row r="154" spans="1:29" ht="9.9499999999999993" customHeight="1">
      <c r="A154" s="6"/>
      <c r="B154" s="6"/>
      <c r="C154" s="25"/>
      <c r="D154" s="48"/>
      <c r="E154" s="48"/>
      <c r="F154" s="48"/>
      <c r="I154" s="25"/>
      <c r="J154" s="55"/>
      <c r="K154" s="55"/>
      <c r="L154" s="55"/>
      <c r="M154" s="44"/>
      <c r="N154" s="43"/>
      <c r="O154" s="47"/>
      <c r="P154" s="30"/>
      <c r="Q154" s="44"/>
      <c r="R154" s="48"/>
      <c r="S154" s="48"/>
      <c r="U154" s="6"/>
      <c r="V154" s="6"/>
      <c r="W154" s="6"/>
      <c r="X154" s="6"/>
      <c r="Y154" s="6"/>
      <c r="Z154" s="6"/>
      <c r="AA154" s="29"/>
      <c r="AC154" s="6"/>
    </row>
    <row r="155" spans="1:29" ht="12.95" customHeight="1">
      <c r="A155" s="6"/>
      <c r="B155" s="13" t="s">
        <v>383</v>
      </c>
      <c r="C155" s="25"/>
      <c r="D155" s="48"/>
      <c r="E155" s="48"/>
      <c r="F155" s="48"/>
      <c r="I155" s="25"/>
      <c r="J155" s="56"/>
      <c r="K155" s="56"/>
      <c r="L155" s="56"/>
      <c r="M155" s="44"/>
      <c r="N155" s="43"/>
      <c r="O155" s="47"/>
      <c r="P155" s="30"/>
      <c r="Q155" s="44"/>
      <c r="R155" s="48"/>
      <c r="S155" s="48"/>
      <c r="U155" s="6"/>
      <c r="V155" s="6"/>
      <c r="W155" s="6"/>
      <c r="X155" s="6"/>
      <c r="Y155" s="6"/>
      <c r="Z155" s="6"/>
      <c r="AA155" s="29"/>
      <c r="AC155" s="6"/>
    </row>
    <row r="156" spans="1:29" ht="12.95" customHeight="1">
      <c r="A156" s="6"/>
      <c r="B156" s="382" t="s">
        <v>534</v>
      </c>
      <c r="C156" s="381" t="s">
        <v>207</v>
      </c>
      <c r="D156" s="595">
        <v>0.32200000000000001</v>
      </c>
      <c r="E156" s="595"/>
      <c r="F156" s="57" t="s">
        <v>9</v>
      </c>
      <c r="G156" s="388" t="s">
        <v>384</v>
      </c>
      <c r="H156" s="388"/>
      <c r="I156" s="596" t="s">
        <v>9</v>
      </c>
      <c r="J156" s="592" t="s">
        <v>385</v>
      </c>
      <c r="K156" s="58" t="s">
        <v>288</v>
      </c>
      <c r="L156" s="59" t="s">
        <v>9</v>
      </c>
      <c r="M156" s="60" t="s">
        <v>20</v>
      </c>
      <c r="N156" s="596" t="s">
        <v>1</v>
      </c>
      <c r="O156" s="581">
        <f>((0.322*D153/U148)*(SQRT((R12*R17/(U149*R14)))))/10</f>
        <v>5612.875859359312</v>
      </c>
      <c r="P156" s="581"/>
      <c r="Q156" s="581"/>
      <c r="R156" s="597" t="s">
        <v>397</v>
      </c>
      <c r="S156" s="597"/>
      <c r="T156" s="581" t="s">
        <v>1</v>
      </c>
      <c r="U156" s="581">
        <f>O156/1000</f>
        <v>5.6128758593593124</v>
      </c>
      <c r="V156" s="581"/>
      <c r="W156" s="581"/>
      <c r="X156" s="598" t="s">
        <v>327</v>
      </c>
      <c r="Y156" s="598"/>
      <c r="Z156" s="6"/>
      <c r="AA156" s="29"/>
      <c r="AC156" s="6"/>
    </row>
    <row r="157" spans="1:29" ht="12.95" customHeight="1">
      <c r="A157" s="6"/>
      <c r="B157" s="382"/>
      <c r="C157" s="381"/>
      <c r="D157" s="581" t="s">
        <v>392</v>
      </c>
      <c r="E157" s="581"/>
      <c r="F157" s="581"/>
      <c r="G157" s="581"/>
      <c r="H157" s="581"/>
      <c r="I157" s="596"/>
      <c r="J157" s="592"/>
      <c r="K157" s="56" t="s">
        <v>535</v>
      </c>
      <c r="L157" s="56" t="s">
        <v>387</v>
      </c>
      <c r="M157" s="56" t="s">
        <v>328</v>
      </c>
      <c r="N157" s="596"/>
      <c r="O157" s="581"/>
      <c r="P157" s="581"/>
      <c r="Q157" s="581"/>
      <c r="R157" s="597"/>
      <c r="S157" s="597"/>
      <c r="T157" s="581"/>
      <c r="U157" s="581"/>
      <c r="V157" s="581"/>
      <c r="W157" s="581"/>
      <c r="X157" s="598"/>
      <c r="Y157" s="598"/>
      <c r="Z157" s="6"/>
      <c r="AA157" s="29"/>
      <c r="AC157" s="6"/>
    </row>
    <row r="158" spans="1:29" ht="9.9499999999999993" customHeight="1">
      <c r="A158" s="6"/>
      <c r="B158" s="6"/>
      <c r="C158" s="25"/>
      <c r="D158" s="48"/>
      <c r="E158" s="48"/>
      <c r="F158" s="48"/>
      <c r="I158" s="25"/>
      <c r="J158" s="56"/>
      <c r="K158" s="56"/>
      <c r="L158" s="56"/>
      <c r="M158" s="44"/>
      <c r="N158" s="43"/>
      <c r="O158" s="47"/>
      <c r="P158" s="30"/>
      <c r="Q158" s="44"/>
      <c r="R158" s="48"/>
      <c r="S158" s="48"/>
      <c r="U158" s="6"/>
      <c r="V158" s="6"/>
      <c r="W158" s="6"/>
      <c r="X158" s="6"/>
      <c r="Y158" s="6"/>
      <c r="Z158" s="6"/>
      <c r="AA158" s="29"/>
      <c r="AC158" s="6"/>
    </row>
    <row r="159" spans="1:29" ht="12.95" customHeight="1">
      <c r="A159" s="6"/>
      <c r="B159" s="13" t="s">
        <v>382</v>
      </c>
      <c r="C159" s="6"/>
      <c r="D159" s="6"/>
      <c r="I159" s="6"/>
      <c r="J159" s="6"/>
      <c r="K159" s="6"/>
      <c r="L159" s="44"/>
      <c r="M159" s="44"/>
      <c r="N159" s="43"/>
      <c r="O159" s="47"/>
      <c r="P159" s="30"/>
      <c r="Q159" s="44"/>
      <c r="R159" s="48"/>
      <c r="S159" s="48"/>
      <c r="U159" s="6"/>
      <c r="V159" s="6"/>
      <c r="W159" s="6"/>
      <c r="X159" s="6"/>
      <c r="Y159" s="6"/>
      <c r="Z159" s="6"/>
      <c r="AA159" s="29"/>
      <c r="AC159" s="6"/>
    </row>
    <row r="160" spans="1:29" ht="12.95" customHeight="1">
      <c r="A160" s="6"/>
      <c r="B160" s="61" t="s">
        <v>533</v>
      </c>
      <c r="C160" s="25" t="s">
        <v>207</v>
      </c>
      <c r="D160" s="534" t="s">
        <v>339</v>
      </c>
      <c r="E160" s="534"/>
      <c r="F160" s="43" t="s">
        <v>9</v>
      </c>
      <c r="G160" s="382" t="s">
        <v>398</v>
      </c>
      <c r="H160" s="240"/>
      <c r="I160" s="50" t="s">
        <v>5</v>
      </c>
      <c r="J160" s="30" t="s">
        <v>288</v>
      </c>
      <c r="K160" s="25" t="s">
        <v>207</v>
      </c>
      <c r="L160" s="594">
        <f>R15</f>
        <v>6</v>
      </c>
      <c r="M160" s="587"/>
      <c r="N160" s="43" t="s">
        <v>9</v>
      </c>
      <c r="O160" s="581">
        <f>O156</f>
        <v>5612.875859359312</v>
      </c>
      <c r="P160" s="581"/>
      <c r="Q160" s="581"/>
      <c r="R160" s="50" t="s">
        <v>5</v>
      </c>
      <c r="S160" s="581">
        <f>R12</f>
        <v>160000000</v>
      </c>
      <c r="T160" s="581"/>
      <c r="U160" s="581"/>
      <c r="V160" s="581"/>
      <c r="W160" s="6"/>
      <c r="X160" s="6"/>
      <c r="Y160" s="6"/>
      <c r="Z160" s="6"/>
      <c r="AA160" s="29"/>
      <c r="AC160" s="6"/>
    </row>
    <row r="161" spans="1:29" ht="12.95" customHeight="1">
      <c r="A161" s="6"/>
      <c r="B161" s="6"/>
      <c r="C161" s="25" t="s">
        <v>207</v>
      </c>
      <c r="D161" s="592">
        <f>(L160*O160)/S160</f>
        <v>2.1048284472597421E-4</v>
      </c>
      <c r="E161" s="592"/>
      <c r="F161" s="592"/>
      <c r="G161" s="5" t="s">
        <v>8</v>
      </c>
      <c r="I161" s="6"/>
      <c r="J161" s="6"/>
      <c r="K161" s="6"/>
      <c r="L161" s="44"/>
      <c r="M161" s="44"/>
      <c r="N161" s="43"/>
      <c r="O161" s="47"/>
      <c r="P161" s="30"/>
      <c r="Q161" s="44"/>
      <c r="R161" s="48"/>
      <c r="S161" s="48"/>
      <c r="U161" s="6"/>
      <c r="V161" s="6"/>
      <c r="W161" s="6"/>
      <c r="X161" s="6"/>
      <c r="Y161" s="6"/>
      <c r="Z161" s="6"/>
      <c r="AA161" s="29"/>
      <c r="AC161" s="6"/>
    </row>
    <row r="162" spans="1:29" ht="12.95" customHeight="1">
      <c r="A162" s="6"/>
      <c r="B162" s="6"/>
      <c r="C162" s="6"/>
      <c r="D162" s="6"/>
      <c r="I162" s="6"/>
      <c r="J162" s="6"/>
      <c r="K162" s="6"/>
      <c r="L162" s="44"/>
      <c r="M162" s="44"/>
      <c r="N162" s="43"/>
      <c r="O162" s="47"/>
      <c r="P162" s="30"/>
      <c r="Q162" s="44"/>
      <c r="R162" s="48"/>
      <c r="S162" s="48"/>
      <c r="U162" s="6"/>
      <c r="V162" s="6"/>
      <c r="W162" s="6"/>
      <c r="X162" s="6"/>
      <c r="Y162" s="6"/>
      <c r="Z162" s="6"/>
      <c r="AA162" s="29"/>
      <c r="AC162" s="6"/>
    </row>
    <row r="163" spans="1:29" ht="12.95" customHeight="1">
      <c r="A163" s="6"/>
      <c r="B163" s="6" t="s">
        <v>399</v>
      </c>
      <c r="C163" s="6"/>
      <c r="D163" s="6"/>
      <c r="I163" s="6"/>
      <c r="J163" s="6"/>
      <c r="K163" s="6"/>
      <c r="L163" s="44"/>
      <c r="M163" s="44"/>
      <c r="N163" s="43"/>
      <c r="O163" s="47"/>
      <c r="P163" s="30"/>
      <c r="Q163" s="44"/>
      <c r="R163" s="48"/>
      <c r="S163" s="48"/>
      <c r="U163" s="6"/>
      <c r="V163" s="6"/>
      <c r="W163" s="6"/>
      <c r="X163" s="6"/>
      <c r="Y163" s="6"/>
      <c r="Z163" s="6"/>
      <c r="AA163" s="29"/>
      <c r="AC163" s="6"/>
    </row>
    <row r="164" spans="1:29" ht="12.95" customHeight="1">
      <c r="A164" s="6"/>
      <c r="B164" s="6" t="s">
        <v>400</v>
      </c>
      <c r="C164" s="6"/>
      <c r="D164" s="6" t="s">
        <v>401</v>
      </c>
      <c r="G164" s="44" t="s">
        <v>1</v>
      </c>
      <c r="H164" s="379">
        <f>K7</f>
        <v>20</v>
      </c>
      <c r="I164" s="379"/>
      <c r="J164" s="379"/>
      <c r="K164" s="13" t="s">
        <v>254</v>
      </c>
      <c r="L164" s="44"/>
      <c r="M164" s="44"/>
      <c r="N164" s="43"/>
      <c r="O164" s="47"/>
      <c r="P164" s="30"/>
      <c r="Q164" s="44"/>
      <c r="R164" s="48"/>
      <c r="S164" s="48"/>
      <c r="U164" s="6"/>
      <c r="V164" s="6"/>
      <c r="W164" s="6"/>
      <c r="X164" s="6"/>
      <c r="Y164" s="6"/>
      <c r="Z164" s="6"/>
      <c r="AA164" s="29"/>
      <c r="AC164" s="6"/>
    </row>
    <row r="165" spans="1:29" ht="12.95" customHeight="1">
      <c r="A165" s="6"/>
      <c r="B165" s="6" t="s">
        <v>402</v>
      </c>
      <c r="C165" s="6"/>
      <c r="D165" s="6" t="s">
        <v>403</v>
      </c>
      <c r="G165" s="44" t="s">
        <v>1</v>
      </c>
      <c r="H165" s="240">
        <f>1*10^-5</f>
        <v>1.0000000000000001E-5</v>
      </c>
      <c r="I165" s="240"/>
      <c r="J165" s="240"/>
      <c r="K165" s="13" t="s">
        <v>566</v>
      </c>
      <c r="L165" s="44"/>
      <c r="M165" s="44"/>
      <c r="N165" s="43"/>
      <c r="O165" s="47"/>
      <c r="P165" s="30"/>
      <c r="Q165" s="44"/>
      <c r="R165" s="48"/>
      <c r="S165" s="48"/>
      <c r="U165" s="6"/>
      <c r="V165" s="6"/>
      <c r="W165" s="6"/>
      <c r="X165" s="6"/>
      <c r="Y165" s="6"/>
      <c r="Z165" s="6"/>
      <c r="AA165" s="29"/>
      <c r="AC165" s="6"/>
    </row>
    <row r="166" spans="1:29" ht="9.9499999999999993" customHeight="1">
      <c r="A166" s="6"/>
      <c r="B166" s="6"/>
      <c r="C166" s="6"/>
      <c r="D166" s="6"/>
      <c r="I166" s="6"/>
      <c r="J166" s="6"/>
      <c r="K166" s="6"/>
      <c r="L166" s="44"/>
      <c r="M166" s="44"/>
      <c r="N166" s="43"/>
      <c r="O166" s="47"/>
      <c r="P166" s="30"/>
      <c r="Q166" s="44"/>
      <c r="R166" s="48"/>
      <c r="S166" s="48"/>
      <c r="U166" s="6"/>
      <c r="V166" s="6"/>
      <c r="W166" s="6"/>
      <c r="X166" s="6"/>
      <c r="Y166" s="6"/>
      <c r="Z166" s="6"/>
      <c r="AA166" s="29"/>
      <c r="AC166" s="6"/>
    </row>
    <row r="167" spans="1:29" ht="12.95" customHeight="1">
      <c r="A167" s="6"/>
      <c r="B167" s="61" t="s">
        <v>532</v>
      </c>
      <c r="C167" s="25" t="s">
        <v>207</v>
      </c>
      <c r="D167" s="599" t="s">
        <v>404</v>
      </c>
      <c r="E167" s="534"/>
      <c r="F167" s="43" t="s">
        <v>9</v>
      </c>
      <c r="G167" s="382" t="s">
        <v>405</v>
      </c>
      <c r="H167" s="240"/>
      <c r="I167" s="43" t="s">
        <v>9</v>
      </c>
      <c r="J167" s="534" t="s">
        <v>339</v>
      </c>
      <c r="K167" s="534"/>
      <c r="L167" s="25" t="s">
        <v>207</v>
      </c>
      <c r="M167" s="534">
        <f>H165</f>
        <v>1.0000000000000001E-5</v>
      </c>
      <c r="N167" s="534"/>
      <c r="O167" s="534"/>
      <c r="P167" s="43" t="s">
        <v>9</v>
      </c>
      <c r="Q167" s="605">
        <f>H164</f>
        <v>20</v>
      </c>
      <c r="R167" s="534"/>
      <c r="S167" s="43" t="s">
        <v>9</v>
      </c>
      <c r="T167" s="586">
        <f>R15</f>
        <v>6</v>
      </c>
      <c r="U167" s="534"/>
      <c r="V167" s="6"/>
      <c r="W167" s="6"/>
      <c r="X167" s="6"/>
      <c r="Y167" s="6"/>
      <c r="Z167" s="6"/>
      <c r="AA167" s="29"/>
      <c r="AC167" s="6"/>
    </row>
    <row r="168" spans="1:29" ht="12.95" customHeight="1">
      <c r="A168" s="6"/>
      <c r="B168" s="6"/>
      <c r="C168" s="25" t="s">
        <v>207</v>
      </c>
      <c r="D168" s="592">
        <f>M167*Q167*T167</f>
        <v>1.2000000000000001E-3</v>
      </c>
      <c r="E168" s="592"/>
      <c r="F168" s="592"/>
      <c r="G168" s="5" t="s">
        <v>8</v>
      </c>
      <c r="I168" s="6"/>
      <c r="J168" s="6"/>
      <c r="K168" s="6"/>
      <c r="L168" s="44"/>
      <c r="M168" s="44"/>
      <c r="N168" s="43"/>
      <c r="O168" s="47"/>
      <c r="P168" s="30"/>
      <c r="Q168" s="44"/>
      <c r="R168" s="48"/>
      <c r="S168" s="48"/>
      <c r="U168" s="6"/>
      <c r="V168" s="6"/>
      <c r="W168" s="6"/>
      <c r="X168" s="6"/>
      <c r="Y168" s="6"/>
      <c r="Z168" s="6"/>
      <c r="AA168" s="29"/>
      <c r="AC168" s="6"/>
    </row>
    <row r="169" spans="1:29" ht="12.95" customHeight="1">
      <c r="A169" s="6"/>
      <c r="B169" s="6"/>
      <c r="C169" s="6"/>
      <c r="D169" s="6"/>
      <c r="I169" s="6"/>
      <c r="J169" s="6"/>
      <c r="K169" s="6"/>
      <c r="L169" s="44"/>
      <c r="M169" s="44"/>
      <c r="N169" s="43"/>
      <c r="O169" s="47"/>
      <c r="P169" s="30"/>
      <c r="Q169" s="44"/>
      <c r="R169" s="48"/>
      <c r="S169" s="48"/>
      <c r="U169" s="6"/>
      <c r="V169" s="6"/>
      <c r="W169" s="6"/>
      <c r="X169" s="6"/>
      <c r="Y169" s="6"/>
      <c r="Z169" s="6"/>
      <c r="AA169" s="29"/>
      <c r="AC169" s="6"/>
    </row>
    <row r="170" spans="1:29" ht="12.95" customHeight="1">
      <c r="A170" s="6"/>
      <c r="B170" s="6" t="s">
        <v>406</v>
      </c>
      <c r="C170" s="6"/>
      <c r="D170" s="6"/>
      <c r="I170" s="6"/>
      <c r="J170" s="6"/>
      <c r="K170" s="6"/>
      <c r="L170" s="44"/>
      <c r="M170" s="44"/>
      <c r="N170" s="43"/>
      <c r="O170" s="47"/>
      <c r="P170" s="30"/>
      <c r="Q170" s="44"/>
      <c r="R170" s="48"/>
      <c r="S170" s="48"/>
      <c r="U170" s="6"/>
      <c r="V170" s="6"/>
      <c r="W170" s="6"/>
      <c r="X170" s="6"/>
      <c r="Y170" s="6"/>
      <c r="Z170" s="6"/>
      <c r="AA170" s="29"/>
      <c r="AC170" s="6"/>
    </row>
    <row r="171" spans="1:29" ht="12.95" customHeight="1">
      <c r="A171" s="6"/>
      <c r="B171" s="6" t="s">
        <v>408</v>
      </c>
      <c r="C171" s="6"/>
      <c r="D171" s="6" t="s">
        <v>409</v>
      </c>
      <c r="G171" s="44" t="s">
        <v>1</v>
      </c>
      <c r="H171" s="379">
        <f>K10</f>
        <v>0.2</v>
      </c>
      <c r="I171" s="379"/>
      <c r="J171" s="379"/>
      <c r="K171" s="16" t="s">
        <v>210</v>
      </c>
      <c r="L171" s="44"/>
      <c r="M171" s="44"/>
      <c r="N171" s="43"/>
      <c r="O171" s="47"/>
      <c r="P171" s="30"/>
      <c r="Q171" s="44"/>
      <c r="R171" s="48"/>
      <c r="S171" s="48"/>
      <c r="U171" s="6"/>
      <c r="V171" s="6"/>
      <c r="W171" s="6"/>
      <c r="X171" s="6"/>
      <c r="Y171" s="6"/>
      <c r="Z171" s="6"/>
      <c r="AA171" s="29"/>
      <c r="AC171" s="6"/>
    </row>
    <row r="172" spans="1:29" ht="12.95" customHeight="1">
      <c r="A172" s="6"/>
      <c r="B172" s="6" t="s">
        <v>531</v>
      </c>
      <c r="C172" s="6"/>
      <c r="D172" s="6" t="s">
        <v>411</v>
      </c>
      <c r="G172" s="44" t="s">
        <v>1</v>
      </c>
      <c r="H172" s="369">
        <f>U10</f>
        <v>30</v>
      </c>
      <c r="I172" s="369"/>
      <c r="J172" s="369"/>
      <c r="K172" s="6" t="s">
        <v>8</v>
      </c>
      <c r="L172" s="44"/>
      <c r="M172" s="44"/>
      <c r="N172" s="43"/>
      <c r="O172" s="47"/>
      <c r="P172" s="30"/>
      <c r="Q172" s="44"/>
      <c r="R172" s="48"/>
      <c r="S172" s="48"/>
      <c r="U172" s="6"/>
      <c r="V172" s="6"/>
      <c r="W172" s="6"/>
      <c r="X172" s="6"/>
      <c r="Y172" s="6"/>
      <c r="Z172" s="6"/>
      <c r="AA172" s="29"/>
      <c r="AC172" s="6"/>
    </row>
    <row r="173" spans="1:29" ht="9.9499999999999993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29"/>
      <c r="AC173" s="6"/>
    </row>
    <row r="174" spans="1:29" ht="12.95" customHeight="1">
      <c r="A174" s="6"/>
      <c r="B174" s="127" t="s">
        <v>412</v>
      </c>
      <c r="C174" s="25" t="s">
        <v>207</v>
      </c>
      <c r="D174" s="9" t="s">
        <v>2</v>
      </c>
      <c r="E174" s="30" t="s">
        <v>385</v>
      </c>
      <c r="F174" s="9" t="s">
        <v>539</v>
      </c>
      <c r="G174" s="9" t="s">
        <v>3</v>
      </c>
      <c r="H174" s="128" t="s">
        <v>413</v>
      </c>
      <c r="I174" s="30" t="s">
        <v>4</v>
      </c>
      <c r="J174" s="30" t="s">
        <v>7</v>
      </c>
      <c r="K174" s="9" t="s">
        <v>538</v>
      </c>
      <c r="L174" s="44" t="s">
        <v>1</v>
      </c>
      <c r="M174" s="600">
        <f>SQRT(H171^2+H172^2)</f>
        <v>30.000666659259423</v>
      </c>
      <c r="N174" s="600"/>
      <c r="O174" s="600"/>
      <c r="P174" s="30" t="s">
        <v>7</v>
      </c>
      <c r="Q174" s="601">
        <f>H172</f>
        <v>30</v>
      </c>
      <c r="R174" s="601"/>
      <c r="S174" s="601"/>
      <c r="U174" s="6"/>
      <c r="V174" s="6"/>
      <c r="W174" s="6"/>
      <c r="X174" s="6"/>
      <c r="Y174" s="6"/>
      <c r="Z174" s="6"/>
      <c r="AA174" s="29"/>
      <c r="AC174" s="6"/>
    </row>
    <row r="175" spans="1:29" ht="12.95" customHeight="1">
      <c r="A175" s="6"/>
      <c r="B175" s="6"/>
      <c r="C175" s="25" t="s">
        <v>207</v>
      </c>
      <c r="D175" s="602">
        <f>M174-Q174</f>
        <v>6.6665925942288595E-4</v>
      </c>
      <c r="E175" s="602"/>
      <c r="F175" s="602"/>
      <c r="G175" s="5" t="s">
        <v>8</v>
      </c>
      <c r="I175" s="6"/>
      <c r="J175" s="6"/>
      <c r="K175" s="6"/>
      <c r="L175" s="44"/>
      <c r="M175" s="44"/>
      <c r="N175" s="43"/>
      <c r="O175" s="47"/>
      <c r="P175" s="30"/>
      <c r="Q175" s="44"/>
      <c r="R175" s="48"/>
      <c r="S175" s="48"/>
      <c r="U175" s="6"/>
      <c r="V175" s="6"/>
      <c r="W175" s="6"/>
      <c r="X175" s="6"/>
      <c r="Y175" s="6"/>
      <c r="Z175" s="6"/>
      <c r="AA175" s="29"/>
      <c r="AC175" s="6"/>
    </row>
    <row r="176" spans="1:29" ht="12.95" customHeight="1">
      <c r="A176" s="6"/>
      <c r="B176" s="6"/>
      <c r="C176" s="6"/>
      <c r="D176" s="6"/>
      <c r="I176" s="6"/>
      <c r="J176" s="6"/>
      <c r="K176" s="6"/>
      <c r="L176" s="44"/>
      <c r="M176" s="44"/>
      <c r="N176" s="43"/>
      <c r="O176" s="47"/>
      <c r="P176" s="30"/>
      <c r="Q176" s="44"/>
      <c r="R176" s="48"/>
      <c r="S176" s="48"/>
      <c r="U176" s="6"/>
      <c r="V176" s="6"/>
      <c r="W176" s="6"/>
      <c r="X176" s="6"/>
      <c r="Y176" s="6"/>
      <c r="Z176" s="6"/>
      <c r="AA176" s="29"/>
      <c r="AC176" s="6"/>
    </row>
    <row r="177" spans="1:29" ht="12.95" customHeight="1">
      <c r="A177" s="6" t="s">
        <v>343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29"/>
      <c r="AC177" s="6"/>
    </row>
    <row r="178" spans="1:29" ht="12.95" customHeight="1">
      <c r="A178" s="6"/>
      <c r="B178" s="6" t="s">
        <v>103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29"/>
      <c r="AC178" s="6"/>
    </row>
    <row r="179" spans="1:29" ht="12.95" customHeight="1">
      <c r="A179" s="6"/>
      <c r="B179" s="6" t="s">
        <v>104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29"/>
      <c r="AC179" s="6"/>
    </row>
    <row r="180" spans="1:29" ht="12.95" customHeight="1">
      <c r="A180" s="6"/>
      <c r="B180" s="64" t="s">
        <v>195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29"/>
      <c r="AC180" s="6"/>
    </row>
    <row r="181" spans="1:29" ht="12.95" customHeight="1">
      <c r="A181" s="6"/>
      <c r="B181" s="64" t="s">
        <v>196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29"/>
      <c r="AC181" s="6"/>
    </row>
    <row r="182" spans="1:29" ht="5.0999999999999996" customHeight="1">
      <c r="A182" s="6"/>
      <c r="B182" s="64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29"/>
      <c r="AC182" s="6"/>
    </row>
    <row r="183" spans="1:29" ht="12.95" customHeight="1">
      <c r="A183" s="6"/>
      <c r="B183" s="6" t="s">
        <v>122</v>
      </c>
      <c r="C183" s="6"/>
      <c r="D183" s="6" t="s">
        <v>565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44" t="s">
        <v>1</v>
      </c>
      <c r="R183" s="603">
        <f>B188</f>
        <v>15</v>
      </c>
      <c r="S183" s="603"/>
      <c r="T183" s="5" t="s">
        <v>8</v>
      </c>
      <c r="U183" s="6"/>
      <c r="V183" s="6"/>
      <c r="W183" s="6"/>
      <c r="X183" s="6"/>
      <c r="Y183" s="6"/>
      <c r="Z183" s="6"/>
      <c r="AA183" s="29"/>
      <c r="AC183" s="6"/>
    </row>
    <row r="184" spans="1:29" ht="12.95" customHeight="1">
      <c r="A184" s="6"/>
      <c r="B184" s="6" t="s">
        <v>107</v>
      </c>
      <c r="C184" s="6"/>
      <c r="D184" s="6" t="s">
        <v>108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44" t="s">
        <v>1</v>
      </c>
      <c r="R184" s="604">
        <f>L188</f>
        <v>0.20499999999999999</v>
      </c>
      <c r="S184" s="604"/>
      <c r="T184" s="5" t="s">
        <v>109</v>
      </c>
      <c r="U184" s="6"/>
      <c r="V184" s="6"/>
      <c r="W184" s="6"/>
      <c r="X184" s="6"/>
      <c r="Y184" s="6"/>
      <c r="Z184" s="6"/>
      <c r="AA184" s="29"/>
      <c r="AC184" s="6"/>
    </row>
    <row r="185" spans="1:29" ht="12.95" customHeight="1">
      <c r="A185" s="6"/>
      <c r="B185" s="6" t="s">
        <v>153</v>
      </c>
      <c r="C185" s="6"/>
      <c r="D185" s="6" t="s">
        <v>478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44" t="s">
        <v>1</v>
      </c>
      <c r="R185" s="604">
        <f>Q188</f>
        <v>0.25600000000000001</v>
      </c>
      <c r="S185" s="604"/>
      <c r="T185" s="5" t="s">
        <v>109</v>
      </c>
      <c r="U185" s="6"/>
      <c r="V185" s="6"/>
      <c r="W185" s="6"/>
      <c r="X185" s="6"/>
      <c r="Y185" s="6"/>
      <c r="Z185" s="6"/>
      <c r="AA185" s="29"/>
      <c r="AC185" s="6"/>
    </row>
    <row r="186" spans="1:29" ht="5.0999999999999996" customHeight="1">
      <c r="A186" s="6"/>
      <c r="B186" s="34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29"/>
      <c r="AC186" s="6"/>
    </row>
    <row r="187" spans="1:29" ht="15" customHeight="1">
      <c r="A187" s="6"/>
      <c r="B187" s="501" t="s">
        <v>105</v>
      </c>
      <c r="C187" s="502"/>
      <c r="D187" s="502"/>
      <c r="E187" s="502"/>
      <c r="F187" s="502"/>
      <c r="G187" s="502" t="s">
        <v>564</v>
      </c>
      <c r="H187" s="502"/>
      <c r="I187" s="502"/>
      <c r="J187" s="502"/>
      <c r="K187" s="502"/>
      <c r="L187" s="502" t="s">
        <v>106</v>
      </c>
      <c r="M187" s="502"/>
      <c r="N187" s="502"/>
      <c r="O187" s="502"/>
      <c r="P187" s="502"/>
      <c r="Q187" s="502" t="s">
        <v>154</v>
      </c>
      <c r="R187" s="502"/>
      <c r="S187" s="502"/>
      <c r="T187" s="502"/>
      <c r="U187" s="502"/>
      <c r="V187" s="502" t="s">
        <v>10</v>
      </c>
      <c r="W187" s="502"/>
      <c r="X187" s="502"/>
      <c r="Y187" s="505"/>
      <c r="Z187" s="6"/>
      <c r="AA187" s="29"/>
      <c r="AC187" s="6"/>
    </row>
    <row r="188" spans="1:29" ht="15" customHeight="1">
      <c r="A188" s="6"/>
      <c r="B188" s="606">
        <f>SUM(AC68:AC71)</f>
        <v>15</v>
      </c>
      <c r="C188" s="607"/>
      <c r="D188" s="607"/>
      <c r="E188" s="607"/>
      <c r="F188" s="607"/>
      <c r="G188" s="607">
        <f>K65</f>
        <v>292.47000000000003</v>
      </c>
      <c r="H188" s="607"/>
      <c r="I188" s="607"/>
      <c r="J188" s="607"/>
      <c r="K188" s="607"/>
      <c r="L188" s="608">
        <f>ROUND(4*B188/G188,3)</f>
        <v>0.20499999999999999</v>
      </c>
      <c r="M188" s="608"/>
      <c r="N188" s="608"/>
      <c r="O188" s="608"/>
      <c r="P188" s="608"/>
      <c r="Q188" s="608">
        <f>ROUND(L188*1.25,3)</f>
        <v>0.25600000000000001</v>
      </c>
      <c r="R188" s="608"/>
      <c r="S188" s="608"/>
      <c r="T188" s="608"/>
      <c r="U188" s="608"/>
      <c r="V188" s="609"/>
      <c r="W188" s="609"/>
      <c r="X188" s="609"/>
      <c r="Y188" s="610"/>
      <c r="Z188" s="6"/>
      <c r="AA188" s="29"/>
    </row>
    <row r="189" spans="1:29" ht="12.9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29"/>
      <c r="AC189" s="6"/>
    </row>
    <row r="190" spans="1:29" ht="12.95" customHeight="1">
      <c r="A190" s="6"/>
      <c r="B190" s="6" t="s">
        <v>110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29"/>
      <c r="AC190" s="6"/>
    </row>
    <row r="191" spans="1:29" ht="15" customHeight="1">
      <c r="A191" s="6"/>
      <c r="B191" s="501" t="s">
        <v>6</v>
      </c>
      <c r="C191" s="502"/>
      <c r="D191" s="502"/>
      <c r="E191" s="502"/>
      <c r="F191" s="613" t="s">
        <v>111</v>
      </c>
      <c r="G191" s="502"/>
      <c r="H191" s="502"/>
      <c r="I191" s="502"/>
      <c r="J191" s="502"/>
      <c r="K191" s="502" t="s">
        <v>112</v>
      </c>
      <c r="L191" s="502"/>
      <c r="M191" s="502"/>
      <c r="N191" s="502"/>
      <c r="O191" s="502"/>
      <c r="P191" s="502"/>
      <c r="Q191" s="502"/>
      <c r="R191" s="502"/>
      <c r="S191" s="502"/>
      <c r="T191" s="502"/>
      <c r="U191" s="502"/>
      <c r="V191" s="502"/>
      <c r="W191" s="502"/>
      <c r="X191" s="502"/>
      <c r="Y191" s="505"/>
      <c r="Z191" s="6"/>
      <c r="AA191" s="29"/>
      <c r="AC191" s="6"/>
    </row>
    <row r="192" spans="1:29" ht="15" customHeight="1">
      <c r="A192" s="6"/>
      <c r="B192" s="503"/>
      <c r="C192" s="504"/>
      <c r="D192" s="504"/>
      <c r="E192" s="504"/>
      <c r="F192" s="504"/>
      <c r="G192" s="504"/>
      <c r="H192" s="504"/>
      <c r="I192" s="504"/>
      <c r="J192" s="504"/>
      <c r="K192" s="504" t="s">
        <v>139</v>
      </c>
      <c r="L192" s="504"/>
      <c r="M192" s="504"/>
      <c r="N192" s="504"/>
      <c r="O192" s="504"/>
      <c r="P192" s="504" t="s">
        <v>114</v>
      </c>
      <c r="Q192" s="504"/>
      <c r="R192" s="504"/>
      <c r="S192" s="504"/>
      <c r="T192" s="504"/>
      <c r="U192" s="504" t="s">
        <v>115</v>
      </c>
      <c r="V192" s="504"/>
      <c r="W192" s="504"/>
      <c r="X192" s="504"/>
      <c r="Y192" s="506"/>
      <c r="Z192" s="6"/>
      <c r="AA192" s="29"/>
      <c r="AC192" s="6"/>
    </row>
    <row r="193" spans="1:29" ht="15" customHeight="1">
      <c r="A193" s="6"/>
      <c r="B193" s="611" t="s">
        <v>113</v>
      </c>
      <c r="C193" s="609"/>
      <c r="D193" s="609"/>
      <c r="E193" s="609"/>
      <c r="F193" s="609">
        <v>2.8</v>
      </c>
      <c r="G193" s="609"/>
      <c r="H193" s="609"/>
      <c r="I193" s="609"/>
      <c r="J193" s="609"/>
      <c r="K193" s="607">
        <v>0.06</v>
      </c>
      <c r="L193" s="607"/>
      <c r="M193" s="607"/>
      <c r="N193" s="607"/>
      <c r="O193" s="607"/>
      <c r="P193" s="607">
        <v>0.3</v>
      </c>
      <c r="Q193" s="607"/>
      <c r="R193" s="607"/>
      <c r="S193" s="607"/>
      <c r="T193" s="607"/>
      <c r="U193" s="607">
        <v>3</v>
      </c>
      <c r="V193" s="607"/>
      <c r="W193" s="607"/>
      <c r="X193" s="607"/>
      <c r="Y193" s="612"/>
      <c r="Z193" s="6"/>
      <c r="AA193" s="29"/>
      <c r="AC193" s="6"/>
    </row>
    <row r="194" spans="1:29" ht="12.9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29"/>
      <c r="AC194" s="6"/>
    </row>
    <row r="195" spans="1:29" ht="12.95" customHeight="1">
      <c r="A195" s="6"/>
      <c r="B195" s="6" t="s">
        <v>132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29"/>
      <c r="AC195" s="6"/>
    </row>
    <row r="196" spans="1:29" ht="12.95" customHeight="1">
      <c r="A196" s="6"/>
      <c r="B196" s="64" t="s">
        <v>197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29"/>
      <c r="AC196" s="6"/>
    </row>
    <row r="197" spans="1:29" ht="12.95" customHeight="1">
      <c r="A197" s="6"/>
      <c r="B197" s="6" t="s">
        <v>150</v>
      </c>
      <c r="C197" s="6"/>
      <c r="D197" s="6"/>
      <c r="E197" s="6"/>
      <c r="F197" s="30" t="s">
        <v>0</v>
      </c>
      <c r="G197" s="580">
        <v>10</v>
      </c>
      <c r="H197" s="580"/>
      <c r="I197" s="6" t="s">
        <v>152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29"/>
      <c r="AC197" s="6"/>
    </row>
    <row r="198" spans="1:29" ht="12.95" customHeight="1">
      <c r="A198" s="6"/>
      <c r="B198" s="6" t="s">
        <v>151</v>
      </c>
      <c r="C198" s="6"/>
      <c r="D198" s="6"/>
      <c r="E198" s="6"/>
      <c r="F198" s="30" t="s">
        <v>0</v>
      </c>
      <c r="G198" s="580">
        <v>20</v>
      </c>
      <c r="H198" s="580"/>
      <c r="I198" s="6" t="s">
        <v>152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29"/>
      <c r="AC198" s="6"/>
    </row>
    <row r="199" spans="1:29" ht="12.95" customHeight="1">
      <c r="A199" s="6"/>
      <c r="B199" s="64" t="s">
        <v>198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29"/>
      <c r="AC199" s="6"/>
    </row>
    <row r="200" spans="1:29" ht="5.0999999999999996" customHeight="1">
      <c r="A200" s="6"/>
      <c r="B200" s="34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29"/>
      <c r="AC200" s="6"/>
    </row>
    <row r="201" spans="1:29" ht="15" customHeight="1">
      <c r="A201" s="6"/>
      <c r="B201" s="467" t="s">
        <v>133</v>
      </c>
      <c r="C201" s="469"/>
      <c r="D201" s="469"/>
      <c r="E201" s="469"/>
      <c r="F201" s="469" t="s">
        <v>134</v>
      </c>
      <c r="G201" s="469"/>
      <c r="H201" s="469"/>
      <c r="I201" s="469"/>
      <c r="J201" s="469" t="s">
        <v>148</v>
      </c>
      <c r="K201" s="469"/>
      <c r="L201" s="469"/>
      <c r="M201" s="469"/>
      <c r="N201" s="469"/>
      <c r="O201" s="469"/>
      <c r="P201" s="469"/>
      <c r="Q201" s="469"/>
      <c r="R201" s="469"/>
      <c r="S201" s="469" t="s">
        <v>149</v>
      </c>
      <c r="T201" s="469"/>
      <c r="U201" s="469"/>
      <c r="V201" s="469"/>
      <c r="W201" s="469"/>
      <c r="X201" s="469"/>
      <c r="Y201" s="470"/>
      <c r="Z201" s="6"/>
      <c r="AA201" s="29"/>
      <c r="AC201" s="6"/>
    </row>
    <row r="202" spans="1:29" ht="12.95" customHeight="1">
      <c r="A202" s="6"/>
      <c r="B202" s="614" t="s">
        <v>136</v>
      </c>
      <c r="C202" s="614"/>
      <c r="D202" s="614"/>
      <c r="E202" s="615"/>
      <c r="F202" s="65"/>
      <c r="G202" s="6"/>
      <c r="H202" s="6"/>
      <c r="I202" s="66"/>
      <c r="J202" s="534" t="s">
        <v>143</v>
      </c>
      <c r="K202" s="534"/>
      <c r="L202" s="534"/>
      <c r="M202" s="6"/>
      <c r="N202" s="6"/>
      <c r="O202" s="6"/>
      <c r="P202" s="6"/>
      <c r="Q202" s="6"/>
      <c r="R202" s="6"/>
      <c r="S202" s="65"/>
      <c r="T202" s="6"/>
      <c r="U202" s="6"/>
      <c r="V202" s="6"/>
      <c r="W202" s="6"/>
      <c r="X202" s="6"/>
      <c r="Y202" s="67"/>
      <c r="Z202" s="6"/>
      <c r="AA202" s="29"/>
      <c r="AC202" s="6"/>
    </row>
    <row r="203" spans="1:29" ht="12.95" customHeight="1">
      <c r="A203" s="6"/>
      <c r="B203" s="616"/>
      <c r="C203" s="616"/>
      <c r="D203" s="616"/>
      <c r="E203" s="617"/>
      <c r="F203" s="620" t="s">
        <v>135</v>
      </c>
      <c r="G203" s="534"/>
      <c r="H203" s="534"/>
      <c r="I203" s="621"/>
      <c r="J203" s="534" t="s">
        <v>144</v>
      </c>
      <c r="K203" s="534"/>
      <c r="L203" s="534"/>
      <c r="M203" s="534" t="s">
        <v>140</v>
      </c>
      <c r="N203" s="534">
        <v>6.42</v>
      </c>
      <c r="O203" s="534"/>
      <c r="P203" s="534" t="s">
        <v>142</v>
      </c>
      <c r="Q203" s="624">
        <v>0.48</v>
      </c>
      <c r="R203" s="624"/>
      <c r="S203" s="65"/>
      <c r="T203" s="534" t="s">
        <v>140</v>
      </c>
      <c r="U203" s="534">
        <v>6.42</v>
      </c>
      <c r="V203" s="534"/>
      <c r="W203" s="534" t="s">
        <v>142</v>
      </c>
      <c r="X203" s="624">
        <v>0.48</v>
      </c>
      <c r="Y203" s="625"/>
      <c r="Z203" s="6"/>
      <c r="AA203" s="29"/>
      <c r="AC203" s="6"/>
    </row>
    <row r="204" spans="1:29" ht="12.95" customHeight="1">
      <c r="A204" s="6"/>
      <c r="B204" s="616"/>
      <c r="C204" s="616"/>
      <c r="D204" s="616"/>
      <c r="E204" s="617"/>
      <c r="F204" s="530">
        <v>1</v>
      </c>
      <c r="G204" s="586"/>
      <c r="H204" s="586"/>
      <c r="I204" s="531"/>
      <c r="J204" s="534"/>
      <c r="K204" s="534"/>
      <c r="L204" s="534"/>
      <c r="M204" s="534"/>
      <c r="N204" s="534" t="s">
        <v>141</v>
      </c>
      <c r="O204" s="534"/>
      <c r="P204" s="534"/>
      <c r="Q204" s="6"/>
      <c r="R204" s="6"/>
      <c r="S204" s="65"/>
      <c r="T204" s="534"/>
      <c r="U204" s="534" t="s">
        <v>141</v>
      </c>
      <c r="V204" s="534"/>
      <c r="W204" s="534"/>
      <c r="X204" s="6"/>
      <c r="Y204" s="67"/>
      <c r="Z204" s="6"/>
      <c r="AA204" s="29"/>
      <c r="AC204" s="6"/>
    </row>
    <row r="205" spans="1:29" ht="12.95" customHeight="1">
      <c r="A205" s="6"/>
      <c r="B205" s="618"/>
      <c r="C205" s="618"/>
      <c r="D205" s="618"/>
      <c r="E205" s="619"/>
      <c r="F205" s="68"/>
      <c r="G205" s="69"/>
      <c r="H205" s="69"/>
      <c r="I205" s="70"/>
      <c r="J205" s="534" t="s">
        <v>145</v>
      </c>
      <c r="K205" s="534"/>
      <c r="L205" s="534"/>
      <c r="M205" s="534"/>
      <c r="N205" s="534"/>
      <c r="O205" s="534"/>
      <c r="P205" s="534"/>
      <c r="Q205" s="534"/>
      <c r="R205" s="534"/>
      <c r="S205" s="68"/>
      <c r="T205" s="69"/>
      <c r="U205" s="69"/>
      <c r="V205" s="69"/>
      <c r="W205" s="69"/>
      <c r="X205" s="69"/>
      <c r="Y205" s="71"/>
      <c r="Z205" s="6"/>
      <c r="AA205" s="29"/>
      <c r="AC205" s="6"/>
    </row>
    <row r="206" spans="1:29" ht="18" customHeight="1">
      <c r="A206" s="6"/>
      <c r="B206" s="486" t="s">
        <v>137</v>
      </c>
      <c r="C206" s="487"/>
      <c r="D206" s="487"/>
      <c r="E206" s="487"/>
      <c r="F206" s="590">
        <v>1</v>
      </c>
      <c r="G206" s="590"/>
      <c r="H206" s="590"/>
      <c r="I206" s="590"/>
      <c r="J206" s="487" t="s">
        <v>146</v>
      </c>
      <c r="K206" s="487"/>
      <c r="L206" s="487"/>
      <c r="M206" s="487"/>
      <c r="N206" s="487"/>
      <c r="O206" s="487"/>
      <c r="P206" s="487"/>
      <c r="Q206" s="487"/>
      <c r="R206" s="487"/>
      <c r="S206" s="476">
        <v>0.75800000000000001</v>
      </c>
      <c r="T206" s="476"/>
      <c r="U206" s="476"/>
      <c r="V206" s="476"/>
      <c r="W206" s="476"/>
      <c r="X206" s="476"/>
      <c r="Y206" s="626"/>
      <c r="Z206" s="6"/>
      <c r="AA206" s="29"/>
      <c r="AC206" s="6"/>
    </row>
    <row r="207" spans="1:29" ht="18" customHeight="1">
      <c r="A207" s="6"/>
      <c r="B207" s="488" t="s">
        <v>138</v>
      </c>
      <c r="C207" s="489"/>
      <c r="D207" s="489"/>
      <c r="E207" s="489"/>
      <c r="F207" s="591">
        <v>1</v>
      </c>
      <c r="G207" s="591"/>
      <c r="H207" s="591"/>
      <c r="I207" s="591"/>
      <c r="J207" s="489" t="s">
        <v>147</v>
      </c>
      <c r="K207" s="489"/>
      <c r="L207" s="489"/>
      <c r="M207" s="489"/>
      <c r="N207" s="489"/>
      <c r="O207" s="489"/>
      <c r="P207" s="489"/>
      <c r="Q207" s="489"/>
      <c r="R207" s="489"/>
      <c r="S207" s="622">
        <v>0.56100000000000005</v>
      </c>
      <c r="T207" s="622"/>
      <c r="U207" s="622"/>
      <c r="V207" s="622"/>
      <c r="W207" s="622"/>
      <c r="X207" s="622"/>
      <c r="Y207" s="623"/>
      <c r="Z207" s="6"/>
      <c r="AA207" s="29"/>
      <c r="AC207" s="6"/>
    </row>
    <row r="208" spans="1:29" ht="12.9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29"/>
      <c r="AC208" s="6"/>
    </row>
    <row r="209" spans="2:27" s="6" customFormat="1" ht="12.95" customHeight="1">
      <c r="B209" s="6" t="s">
        <v>414</v>
      </c>
      <c r="AA209" s="29"/>
    </row>
    <row r="210" spans="2:27" s="6" customFormat="1" ht="12.95" customHeight="1">
      <c r="AA210" s="29"/>
    </row>
    <row r="211" spans="2:27" s="6" customFormat="1" ht="12.95" customHeight="1">
      <c r="AA211" s="29"/>
    </row>
    <row r="212" spans="2:27" s="6" customFormat="1" ht="12.95" customHeight="1">
      <c r="AA212" s="29"/>
    </row>
    <row r="213" spans="2:27" s="6" customFormat="1" ht="12.95" customHeight="1">
      <c r="AA213" s="29"/>
    </row>
    <row r="214" spans="2:27" s="6" customFormat="1" ht="12.95" customHeight="1">
      <c r="AA214" s="29"/>
    </row>
    <row r="215" spans="2:27" s="6" customFormat="1" ht="12.95" customHeight="1">
      <c r="AA215" s="29"/>
    </row>
    <row r="216" spans="2:27" s="6" customFormat="1" ht="12.95" customHeight="1">
      <c r="AA216" s="29"/>
    </row>
    <row r="217" spans="2:27" s="6" customFormat="1" ht="12.95" customHeight="1">
      <c r="AA217" s="29"/>
    </row>
    <row r="218" spans="2:27" s="6" customFormat="1" ht="12.95" customHeight="1">
      <c r="AA218" s="29"/>
    </row>
    <row r="219" spans="2:27" s="6" customFormat="1" ht="12.95" customHeight="1">
      <c r="AA219" s="29"/>
    </row>
    <row r="220" spans="2:27" s="6" customFormat="1" ht="12.95" customHeight="1">
      <c r="AA220" s="29"/>
    </row>
    <row r="221" spans="2:27" s="6" customFormat="1" ht="12.95" customHeight="1">
      <c r="AA221" s="29"/>
    </row>
    <row r="222" spans="2:27" s="6" customFormat="1" ht="12.95" customHeight="1">
      <c r="AA222" s="29"/>
    </row>
    <row r="223" spans="2:27" s="6" customFormat="1" ht="12.95" customHeight="1">
      <c r="AA223" s="29"/>
    </row>
    <row r="224" spans="2:27" s="6" customFormat="1" ht="12.95" customHeight="1">
      <c r="AA224" s="29"/>
    </row>
    <row r="225" spans="1:32" ht="12.9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29"/>
      <c r="AC225" s="6"/>
    </row>
    <row r="226" spans="1:32" ht="12.9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29"/>
      <c r="AC226" s="6"/>
    </row>
    <row r="227" spans="1:32" ht="12.9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29"/>
      <c r="AC227" s="6"/>
    </row>
    <row r="228" spans="1:32" ht="12.9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29"/>
      <c r="AC228" s="6"/>
    </row>
    <row r="229" spans="1:32" ht="12.95" customHeight="1">
      <c r="A229" s="6"/>
      <c r="B229" s="6" t="s">
        <v>415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29"/>
      <c r="AC229" s="6"/>
    </row>
    <row r="230" spans="1:32" ht="12.95" customHeight="1">
      <c r="A230" s="6"/>
      <c r="B230" s="6" t="s">
        <v>184</v>
      </c>
      <c r="C230" s="6"/>
      <c r="D230" s="6" t="s">
        <v>179</v>
      </c>
      <c r="I230" s="6"/>
      <c r="J230" s="6"/>
      <c r="K230" s="6"/>
      <c r="L230" s="6"/>
      <c r="M230" s="6"/>
      <c r="N230" s="6"/>
      <c r="O230" s="6"/>
      <c r="P230" s="6"/>
      <c r="Q230" s="44" t="s">
        <v>1</v>
      </c>
      <c r="R230" s="581">
        <f>R121</f>
        <v>6.2699999999999992E-2</v>
      </c>
      <c r="S230" s="581"/>
      <c r="T230" s="5" t="s">
        <v>12</v>
      </c>
      <c r="U230" s="6"/>
      <c r="V230" s="6"/>
      <c r="W230" s="6"/>
      <c r="X230" s="6"/>
      <c r="Y230" s="6"/>
      <c r="Z230" s="6"/>
      <c r="AA230" s="29"/>
      <c r="AB230" s="6" t="s">
        <v>136</v>
      </c>
      <c r="AC230" s="6">
        <f>S206</f>
        <v>0.75800000000000001</v>
      </c>
    </row>
    <row r="231" spans="1:32" ht="12.95" customHeight="1">
      <c r="A231" s="6"/>
      <c r="B231" s="6" t="s">
        <v>185</v>
      </c>
      <c r="C231" s="6"/>
      <c r="D231" s="6" t="s">
        <v>180</v>
      </c>
      <c r="I231" s="6"/>
      <c r="J231" s="6"/>
      <c r="K231" s="6"/>
      <c r="L231" s="6"/>
      <c r="M231" s="6"/>
      <c r="N231" s="6"/>
      <c r="O231" s="6"/>
      <c r="P231" s="6"/>
      <c r="Q231" s="44" t="s">
        <v>1</v>
      </c>
      <c r="R231" s="581">
        <f>R125</f>
        <v>0.154</v>
      </c>
      <c r="S231" s="581"/>
      <c r="T231" s="5" t="s">
        <v>12</v>
      </c>
      <c r="U231" s="6"/>
      <c r="V231" s="6"/>
      <c r="W231" s="6"/>
      <c r="X231" s="6"/>
      <c r="Y231" s="6"/>
      <c r="Z231" s="6"/>
      <c r="AA231" s="29"/>
      <c r="AB231" s="6" t="s">
        <v>136</v>
      </c>
      <c r="AC231" s="6">
        <f>S207</f>
        <v>0.56100000000000005</v>
      </c>
    </row>
    <row r="232" spans="1:32" ht="12.95" customHeight="1">
      <c r="A232" s="6"/>
      <c r="B232" s="6" t="s">
        <v>153</v>
      </c>
      <c r="C232" s="6"/>
      <c r="D232" s="6" t="s">
        <v>478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44" t="s">
        <v>1</v>
      </c>
      <c r="R232" s="604">
        <f>R185</f>
        <v>0.25600000000000001</v>
      </c>
      <c r="S232" s="604"/>
      <c r="T232" s="5" t="s">
        <v>109</v>
      </c>
      <c r="U232" s="6"/>
      <c r="V232" s="6"/>
      <c r="W232" s="6"/>
      <c r="X232" s="6"/>
      <c r="Y232" s="6"/>
      <c r="Z232" s="6"/>
      <c r="AA232" s="29"/>
      <c r="AC232" s="6"/>
    </row>
    <row r="233" spans="1:32" ht="5.0999999999999996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29"/>
      <c r="AC233" s="6"/>
    </row>
    <row r="234" spans="1:32" ht="15" customHeight="1">
      <c r="A234" s="6"/>
      <c r="B234" s="501" t="s">
        <v>116</v>
      </c>
      <c r="C234" s="502"/>
      <c r="D234" s="502"/>
      <c r="E234" s="502"/>
      <c r="F234" s="502"/>
      <c r="G234" s="502"/>
      <c r="H234" s="502"/>
      <c r="I234" s="502"/>
      <c r="J234" s="502"/>
      <c r="K234" s="502"/>
      <c r="L234" s="502"/>
      <c r="M234" s="502"/>
      <c r="N234" s="502"/>
      <c r="O234" s="502"/>
      <c r="P234" s="502"/>
      <c r="Q234" s="502"/>
      <c r="R234" s="502" t="s">
        <v>121</v>
      </c>
      <c r="S234" s="502"/>
      <c r="T234" s="502"/>
      <c r="U234" s="502"/>
      <c r="V234" s="502"/>
      <c r="W234" s="502"/>
      <c r="X234" s="502"/>
      <c r="Y234" s="505"/>
      <c r="Z234" s="6"/>
      <c r="AA234" s="29"/>
      <c r="AC234" s="6"/>
    </row>
    <row r="235" spans="1:32" ht="15" customHeight="1">
      <c r="A235" s="6"/>
      <c r="B235" s="503"/>
      <c r="C235" s="504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 t="s">
        <v>14</v>
      </c>
      <c r="S235" s="504"/>
      <c r="T235" s="504"/>
      <c r="U235" s="504"/>
      <c r="V235" s="504" t="s">
        <v>15</v>
      </c>
      <c r="W235" s="504"/>
      <c r="X235" s="504"/>
      <c r="Y235" s="506"/>
      <c r="Z235" s="6"/>
      <c r="AA235" s="29"/>
      <c r="AB235" s="30" t="s">
        <v>117</v>
      </c>
      <c r="AC235" s="6" t="s">
        <v>120</v>
      </c>
      <c r="AD235" s="30" t="s">
        <v>0</v>
      </c>
      <c r="AE235" s="30">
        <f>IF(AE236&lt;AE237,1,IF(AE236&lt;AE238,2,3))</f>
        <v>2</v>
      </c>
      <c r="AF235" s="6" t="s">
        <v>177</v>
      </c>
    </row>
    <row r="236" spans="1:32" ht="15" customHeight="1">
      <c r="A236" s="6"/>
      <c r="B236" s="566" t="s">
        <v>181</v>
      </c>
      <c r="C236" s="567"/>
      <c r="D236" s="567"/>
      <c r="E236" s="567"/>
      <c r="F236" s="567"/>
      <c r="G236" s="629" t="s">
        <v>174</v>
      </c>
      <c r="H236" s="629"/>
      <c r="I236" s="629"/>
      <c r="J236" s="629"/>
      <c r="K236" s="629"/>
      <c r="L236" s="629"/>
      <c r="M236" s="629"/>
      <c r="N236" s="629"/>
      <c r="O236" s="629"/>
      <c r="P236" s="629"/>
      <c r="Q236" s="629"/>
      <c r="R236" s="567" t="str">
        <f>IF(AE235=1,ROUND((1+30*R232)*R230*9.81*AC230*(R232/(2*PI())),3),"")</f>
        <v/>
      </c>
      <c r="S236" s="567"/>
      <c r="T236" s="567"/>
      <c r="U236" s="567"/>
      <c r="V236" s="567" t="str">
        <f>IF(AE235=1,ROUND((1+30*R232)*R231*9.81*AC231*(R232/(2*PI())),3),"")</f>
        <v/>
      </c>
      <c r="W236" s="567"/>
      <c r="X236" s="567"/>
      <c r="Y236" s="589"/>
      <c r="Z236" s="6"/>
      <c r="AA236" s="29"/>
      <c r="AC236" s="72" t="s">
        <v>119</v>
      </c>
      <c r="AD236" s="73" t="s">
        <v>0</v>
      </c>
      <c r="AE236" s="74">
        <f>R232</f>
        <v>0.25600000000000001</v>
      </c>
      <c r="AF236" s="48"/>
    </row>
    <row r="237" spans="1:32" ht="15" customHeight="1">
      <c r="A237" s="6"/>
      <c r="B237" s="486" t="s">
        <v>182</v>
      </c>
      <c r="C237" s="487"/>
      <c r="D237" s="487"/>
      <c r="E237" s="487"/>
      <c r="F237" s="487"/>
      <c r="G237" s="627" t="s">
        <v>175</v>
      </c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487">
        <f>IF(AE235=2,ROUND(2.8*R230*9.81*AC230*(R232/(2*PI())),4),"")</f>
        <v>5.3199999999999997E-2</v>
      </c>
      <c r="S237" s="487"/>
      <c r="T237" s="487"/>
      <c r="U237" s="487"/>
      <c r="V237" s="487">
        <f>IF(AE235=2,ROUND(2.8*R231*9.81*AC231*(R232/(2*PI())),4),"")</f>
        <v>9.6699999999999994E-2</v>
      </c>
      <c r="W237" s="487"/>
      <c r="X237" s="487"/>
      <c r="Y237" s="493"/>
      <c r="Z237" s="6"/>
      <c r="AA237" s="29"/>
      <c r="AC237" s="6" t="s">
        <v>176</v>
      </c>
      <c r="AD237" s="30" t="s">
        <v>0</v>
      </c>
      <c r="AE237" s="75">
        <v>0.06</v>
      </c>
      <c r="AF237" s="48"/>
    </row>
    <row r="238" spans="1:32" ht="15" customHeight="1">
      <c r="A238" s="6"/>
      <c r="B238" s="488" t="s">
        <v>183</v>
      </c>
      <c r="C238" s="489"/>
      <c r="D238" s="489"/>
      <c r="E238" s="489"/>
      <c r="F238" s="489"/>
      <c r="G238" s="628" t="s">
        <v>178</v>
      </c>
      <c r="H238" s="628"/>
      <c r="I238" s="628"/>
      <c r="J238" s="628"/>
      <c r="K238" s="628"/>
      <c r="L238" s="628"/>
      <c r="M238" s="628"/>
      <c r="N238" s="628"/>
      <c r="O238" s="628"/>
      <c r="P238" s="628"/>
      <c r="Q238" s="628"/>
      <c r="R238" s="489" t="str">
        <f>IF(AE235=3,ROUND(0.84/R232*R230*9.81*AC230*(R232/(2*PI())),3),"")</f>
        <v/>
      </c>
      <c r="S238" s="489"/>
      <c r="T238" s="489"/>
      <c r="U238" s="489"/>
      <c r="V238" s="489" t="str">
        <f>IF(AE235=3,ROUND(0.84/R232*R231*9.81*AC231*(R232/(2*PI())),3),"")</f>
        <v/>
      </c>
      <c r="W238" s="489"/>
      <c r="X238" s="489"/>
      <c r="Y238" s="494"/>
      <c r="Z238" s="6"/>
      <c r="AA238" s="29"/>
      <c r="AC238" s="6" t="s">
        <v>118</v>
      </c>
      <c r="AD238" s="30" t="s">
        <v>0</v>
      </c>
      <c r="AE238" s="75">
        <v>0.3</v>
      </c>
      <c r="AF238" s="48"/>
    </row>
    <row r="239" spans="1:32" ht="12.9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29"/>
      <c r="AC239" s="6"/>
    </row>
    <row r="240" spans="1:32" ht="12.95" customHeight="1">
      <c r="A240" s="6"/>
      <c r="B240" s="6" t="s">
        <v>518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29"/>
      <c r="AC240" s="6"/>
    </row>
    <row r="241" spans="1:77" s="18" customFormat="1" ht="12.95" customHeight="1">
      <c r="A241" s="11"/>
      <c r="B241" s="64" t="s">
        <v>516</v>
      </c>
      <c r="C241" s="11"/>
      <c r="D241" s="11"/>
      <c r="E241" s="11"/>
      <c r="F241" s="11"/>
      <c r="G241" s="11"/>
      <c r="H241" s="11"/>
      <c r="I241" s="11"/>
      <c r="J241" s="11"/>
      <c r="K241" s="17"/>
      <c r="L241" s="17"/>
      <c r="M241" s="17"/>
      <c r="N241" s="11"/>
      <c r="O241" s="15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P241" s="17"/>
      <c r="AQ241" s="17"/>
      <c r="AR241" s="17"/>
      <c r="AS241" s="17"/>
      <c r="AT241" s="76"/>
      <c r="AU241" s="77"/>
      <c r="AV241" s="78"/>
      <c r="AW241" s="78"/>
      <c r="AX241" s="78"/>
      <c r="AY241" s="78"/>
      <c r="AZ241" s="78"/>
      <c r="BA241" s="78"/>
      <c r="BB241" s="78"/>
      <c r="BC241" s="78"/>
      <c r="BD241" s="78"/>
      <c r="BE241" s="76"/>
      <c r="BF241" s="77"/>
      <c r="BG241" s="79"/>
      <c r="BH241" s="78"/>
      <c r="BI241" s="78"/>
      <c r="BJ241" s="78"/>
      <c r="BK241" s="78"/>
      <c r="BL241" s="78"/>
      <c r="BM241" s="78"/>
      <c r="BN241" s="78"/>
      <c r="BO241" s="78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</row>
    <row r="242" spans="1:77" s="18" customFormat="1" ht="12.95" customHeight="1">
      <c r="A242" s="11"/>
      <c r="B242" s="64" t="s">
        <v>517</v>
      </c>
      <c r="C242" s="11"/>
      <c r="D242" s="11"/>
      <c r="E242" s="11"/>
      <c r="F242" s="11"/>
      <c r="G242" s="11"/>
      <c r="H242" s="11"/>
      <c r="I242" s="11"/>
      <c r="J242" s="11"/>
      <c r="K242" s="17"/>
      <c r="L242" s="17"/>
      <c r="M242" s="17"/>
      <c r="N242" s="11"/>
      <c r="O242" s="15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P242" s="17"/>
      <c r="AQ242" s="17"/>
      <c r="AR242" s="17"/>
      <c r="AS242" s="17"/>
      <c r="AT242" s="76"/>
      <c r="AU242" s="77"/>
      <c r="AV242" s="78"/>
      <c r="AW242" s="78"/>
      <c r="AX242" s="78"/>
      <c r="AY242" s="78"/>
      <c r="AZ242" s="78"/>
      <c r="BA242" s="78"/>
      <c r="BB242" s="78"/>
      <c r="BC242" s="78"/>
      <c r="BD242" s="78"/>
      <c r="BE242" s="76"/>
      <c r="BF242" s="77"/>
      <c r="BG242" s="79"/>
      <c r="BH242" s="78"/>
      <c r="BI242" s="78"/>
      <c r="BJ242" s="78"/>
      <c r="BK242" s="78"/>
      <c r="BL242" s="78"/>
      <c r="BM242" s="78"/>
      <c r="BN242" s="78"/>
      <c r="BO242" s="78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</row>
    <row r="243" spans="1:77" s="18" customFormat="1" ht="5.0999999999999996" customHeight="1">
      <c r="A243" s="11"/>
      <c r="B243" s="64"/>
      <c r="C243" s="11"/>
      <c r="D243" s="11"/>
      <c r="E243" s="11"/>
      <c r="F243" s="11"/>
      <c r="G243" s="11"/>
      <c r="H243" s="11"/>
      <c r="I243" s="11"/>
      <c r="J243" s="11"/>
      <c r="K243" s="17"/>
      <c r="L243" s="17"/>
      <c r="M243" s="17"/>
      <c r="N243" s="11"/>
      <c r="O243" s="15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P243" s="17"/>
      <c r="AQ243" s="17"/>
      <c r="AR243" s="17"/>
      <c r="AS243" s="17"/>
      <c r="AT243" s="76"/>
      <c r="AU243" s="77"/>
      <c r="AV243" s="78"/>
      <c r="AW243" s="78"/>
      <c r="AX243" s="78"/>
      <c r="AY243" s="78"/>
      <c r="AZ243" s="78"/>
      <c r="BA243" s="78"/>
      <c r="BB243" s="78"/>
      <c r="BC243" s="78"/>
      <c r="BD243" s="78"/>
      <c r="BE243" s="76"/>
      <c r="BF243" s="77"/>
      <c r="BG243" s="79"/>
      <c r="BH243" s="78"/>
      <c r="BI243" s="78"/>
      <c r="BJ243" s="78"/>
      <c r="BK243" s="78"/>
      <c r="BL243" s="78"/>
      <c r="BM243" s="78"/>
      <c r="BN243" s="78"/>
      <c r="BO243" s="78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</row>
    <row r="244" spans="1:77" s="18" customFormat="1" ht="12.95" customHeight="1">
      <c r="A244" s="11"/>
      <c r="B244" s="13" t="s">
        <v>245</v>
      </c>
      <c r="C244" s="11"/>
      <c r="D244" s="11"/>
      <c r="E244" s="11"/>
      <c r="F244" s="11"/>
      <c r="G244" s="11"/>
      <c r="H244" s="11"/>
      <c r="I244" s="11"/>
      <c r="J244" s="11"/>
      <c r="K244" s="17"/>
      <c r="L244" s="17"/>
      <c r="M244" s="17"/>
      <c r="N244" s="11"/>
      <c r="O244" s="15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P244" s="17"/>
      <c r="AQ244" s="17"/>
      <c r="AR244" s="17"/>
      <c r="AS244" s="17"/>
      <c r="AT244" s="76"/>
      <c r="AU244" s="77"/>
      <c r="AV244" s="78"/>
      <c r="AW244" s="78"/>
      <c r="AX244" s="78"/>
      <c r="AY244" s="78"/>
      <c r="AZ244" s="78"/>
      <c r="BA244" s="78"/>
      <c r="BB244" s="78"/>
      <c r="BC244" s="78"/>
      <c r="BD244" s="78"/>
      <c r="BE244" s="76"/>
      <c r="BF244" s="77"/>
      <c r="BG244" s="79"/>
      <c r="BH244" s="78"/>
      <c r="BI244" s="78"/>
      <c r="BJ244" s="78"/>
      <c r="BK244" s="78"/>
      <c r="BL244" s="78"/>
      <c r="BM244" s="78"/>
      <c r="BN244" s="78"/>
      <c r="BO244" s="78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</row>
    <row r="245" spans="1:77" s="18" customFormat="1" ht="12.95" customHeight="1">
      <c r="B245" s="80" t="s">
        <v>574</v>
      </c>
      <c r="K245" s="17"/>
      <c r="L245" s="17"/>
      <c r="M245" s="17"/>
      <c r="O245" s="81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9" t="s">
        <v>328</v>
      </c>
      <c r="AC245" s="81" t="s">
        <v>329</v>
      </c>
      <c r="AD245" s="17"/>
      <c r="AE245" s="17">
        <f>R14</f>
        <v>0.9</v>
      </c>
      <c r="AF245" s="17" t="s">
        <v>8</v>
      </c>
      <c r="AG245" s="17"/>
      <c r="AH245" s="17"/>
      <c r="AI245" s="17"/>
      <c r="AJ245" s="17"/>
      <c r="AK245" s="17"/>
      <c r="AL245" s="17"/>
      <c r="AO245" s="17"/>
      <c r="AP245" s="17"/>
      <c r="AQ245" s="17"/>
      <c r="AR245" s="17"/>
      <c r="AS245" s="17"/>
      <c r="AT245" s="76"/>
      <c r="AU245" s="77"/>
      <c r="AV245" s="78"/>
      <c r="AW245" s="78"/>
      <c r="AX245" s="78"/>
      <c r="AY245" s="78"/>
      <c r="AZ245" s="78"/>
      <c r="BA245" s="78"/>
      <c r="BB245" s="78"/>
      <c r="BC245" s="78"/>
      <c r="BD245" s="78"/>
      <c r="BE245" s="76"/>
      <c r="BF245" s="77"/>
      <c r="BG245" s="79"/>
      <c r="BH245" s="78"/>
      <c r="BI245" s="78"/>
      <c r="BJ245" s="78"/>
      <c r="BK245" s="78"/>
      <c r="BL245" s="78"/>
      <c r="BM245" s="78"/>
      <c r="BN245" s="78"/>
      <c r="BO245" s="78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</row>
    <row r="246" spans="1:77" s="18" customFormat="1" ht="12.95" customHeight="1">
      <c r="B246" s="80" t="s">
        <v>575</v>
      </c>
      <c r="C246" s="80"/>
      <c r="D246" s="419">
        <v>2</v>
      </c>
      <c r="E246" s="419"/>
      <c r="F246" s="25" t="s">
        <v>225</v>
      </c>
      <c r="G246" s="25" t="s">
        <v>226</v>
      </c>
      <c r="H246" s="25" t="s">
        <v>98</v>
      </c>
      <c r="I246" s="381">
        <f>MAX(V236:Y238)</f>
        <v>9.6699999999999994E-2</v>
      </c>
      <c r="J246" s="381"/>
      <c r="K246" s="25" t="s">
        <v>98</v>
      </c>
      <c r="L246" s="420">
        <f>R232</f>
        <v>0.25600000000000001</v>
      </c>
      <c r="M246" s="420"/>
      <c r="N246" s="25" t="s">
        <v>98</v>
      </c>
      <c r="O246" s="381" t="s">
        <v>519</v>
      </c>
      <c r="P246" s="381"/>
      <c r="Q246" s="25" t="s">
        <v>227</v>
      </c>
      <c r="R246" s="25" t="s">
        <v>98</v>
      </c>
      <c r="S246" s="420">
        <f>$V$5</f>
        <v>1.95</v>
      </c>
      <c r="T246" s="420"/>
      <c r="U246" s="25" t="s">
        <v>228</v>
      </c>
      <c r="V246" s="11">
        <v>2</v>
      </c>
      <c r="W246" s="25" t="s">
        <v>98</v>
      </c>
      <c r="X246" s="420">
        <f>$R$183</f>
        <v>15</v>
      </c>
      <c r="Y246" s="420"/>
      <c r="Z246" s="16" t="s">
        <v>97</v>
      </c>
      <c r="AA246" s="16"/>
      <c r="AB246" s="16" t="s">
        <v>291</v>
      </c>
      <c r="AC246" s="16" t="s">
        <v>292</v>
      </c>
      <c r="AD246" s="16"/>
      <c r="AE246" s="16">
        <f>R16</f>
        <v>3.2976337432433021E-2</v>
      </c>
      <c r="AF246" s="17" t="s">
        <v>293</v>
      </c>
      <c r="AG246" s="16"/>
      <c r="AH246" s="16" t="s">
        <v>297</v>
      </c>
      <c r="AI246" s="16">
        <f>ROUND(AE255*AE259*AE253,4)</f>
        <v>0.97860000000000003</v>
      </c>
      <c r="AJ246" s="16"/>
      <c r="AK246" s="16" t="s">
        <v>314</v>
      </c>
      <c r="AL246" s="16">
        <f>ROUND(2*PI()*AE254,3)</f>
        <v>0.41499999999999998</v>
      </c>
      <c r="AM246" s="16"/>
      <c r="AN246" s="16"/>
      <c r="AO246" s="16"/>
      <c r="AP246" s="17"/>
      <c r="AQ246" s="17"/>
      <c r="AR246" s="17"/>
      <c r="AS246" s="17"/>
      <c r="AT246" s="76"/>
      <c r="AU246" s="77"/>
      <c r="AV246" s="78"/>
      <c r="AW246" s="78"/>
      <c r="AX246" s="78"/>
      <c r="AY246" s="78"/>
      <c r="AZ246" s="78"/>
      <c r="BA246" s="78"/>
      <c r="BB246" s="78"/>
      <c r="BC246" s="78"/>
      <c r="BD246" s="78"/>
      <c r="BE246" s="76"/>
      <c r="BF246" s="77"/>
      <c r="BG246" s="79"/>
      <c r="BH246" s="78"/>
      <c r="BI246" s="78"/>
      <c r="BJ246" s="78"/>
      <c r="BK246" s="78"/>
      <c r="BL246" s="78"/>
      <c r="BM246" s="78"/>
      <c r="BN246" s="78"/>
      <c r="BO246" s="78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</row>
    <row r="247" spans="1:77" s="18" customFormat="1" ht="12.95" customHeight="1">
      <c r="C247" s="14" t="s">
        <v>229</v>
      </c>
      <c r="D247" s="630">
        <f>D246/(PI()^2)*I246*L246*COS(PI()*S246/(V246*X246))</f>
        <v>4.9122245505257237E-3</v>
      </c>
      <c r="E247" s="630"/>
      <c r="F247" s="630"/>
      <c r="G247" s="630"/>
      <c r="H247" s="144" t="s">
        <v>210</v>
      </c>
      <c r="K247" s="17"/>
      <c r="L247" s="17"/>
      <c r="M247" s="17"/>
      <c r="O247" s="82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6" t="s">
        <v>288</v>
      </c>
      <c r="AC247" s="16" t="s">
        <v>289</v>
      </c>
      <c r="AD247" s="16"/>
      <c r="AE247" s="83">
        <f>R12</f>
        <v>160000000</v>
      </c>
      <c r="AF247" s="16" t="s">
        <v>220</v>
      </c>
      <c r="AG247" s="16"/>
      <c r="AH247" s="16" t="s">
        <v>298</v>
      </c>
      <c r="AI247" s="16">
        <f>ROUND(2*PI()*AE255,3)</f>
        <v>0.28899999999999998</v>
      </c>
      <c r="AJ247" s="16"/>
      <c r="AK247" s="16" t="s">
        <v>315</v>
      </c>
      <c r="AL247" s="16">
        <f>ROUND(2*PI()/(AE258*AE252),3)</f>
        <v>0.113</v>
      </c>
      <c r="AM247" s="16"/>
      <c r="AN247" s="16"/>
      <c r="AO247" s="16"/>
      <c r="AP247" s="17"/>
      <c r="AQ247" s="17"/>
      <c r="AR247" s="17"/>
      <c r="AS247" s="17"/>
      <c r="AT247" s="76"/>
      <c r="AU247" s="77"/>
      <c r="AV247" s="78"/>
      <c r="AW247" s="78"/>
      <c r="AX247" s="78"/>
      <c r="AY247" s="78"/>
      <c r="AZ247" s="78"/>
      <c r="BA247" s="78"/>
      <c r="BB247" s="78"/>
      <c r="BC247" s="78"/>
      <c r="BD247" s="78"/>
      <c r="BE247" s="76"/>
      <c r="BF247" s="77"/>
      <c r="BG247" s="79"/>
      <c r="BH247" s="78"/>
      <c r="BI247" s="78"/>
      <c r="BJ247" s="78"/>
      <c r="BK247" s="78"/>
      <c r="BL247" s="78"/>
      <c r="BM247" s="78"/>
      <c r="BN247" s="78"/>
      <c r="BO247" s="78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</row>
    <row r="248" spans="1:77" ht="12.95" customHeight="1">
      <c r="A248" s="6"/>
      <c r="B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B248" s="19" t="s">
        <v>283</v>
      </c>
      <c r="AC248" s="23" t="s">
        <v>284</v>
      </c>
      <c r="AD248" s="17"/>
      <c r="AE248" s="17">
        <f>R17</f>
        <v>3.2523185324451372E-3</v>
      </c>
      <c r="AF248" s="17" t="s">
        <v>285</v>
      </c>
      <c r="AG248" s="17"/>
      <c r="AH248" s="16" t="s">
        <v>299</v>
      </c>
      <c r="AI248" s="17">
        <f>ROUND(AE257*AE259*AE253,3)</f>
        <v>0.48899999999999999</v>
      </c>
      <c r="AJ248" s="17"/>
      <c r="AK248" s="16"/>
      <c r="AL248" s="16"/>
      <c r="AM248" s="16"/>
      <c r="AN248" s="16"/>
      <c r="AO248" s="16"/>
    </row>
    <row r="249" spans="1:77" s="18" customFormat="1" ht="12.95" customHeight="1">
      <c r="A249" s="11"/>
      <c r="B249" s="13" t="s">
        <v>246</v>
      </c>
      <c r="C249" s="11"/>
      <c r="D249" s="11"/>
      <c r="E249" s="11"/>
      <c r="F249" s="11"/>
      <c r="G249" s="11"/>
      <c r="H249" s="11"/>
      <c r="I249" s="11"/>
      <c r="J249" s="11"/>
      <c r="K249" s="17"/>
      <c r="L249" s="17"/>
      <c r="M249" s="17"/>
      <c r="N249" s="11"/>
      <c r="O249" s="15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6" t="s">
        <v>280</v>
      </c>
      <c r="AC249" s="16" t="s">
        <v>281</v>
      </c>
      <c r="AD249" s="16"/>
      <c r="AE249" s="84">
        <f>D258</f>
        <v>142307.78085626909</v>
      </c>
      <c r="AF249" s="16" t="s">
        <v>220</v>
      </c>
      <c r="AG249" s="16"/>
      <c r="AH249" s="16" t="s">
        <v>300</v>
      </c>
      <c r="AI249" s="16">
        <f>ROUND(2*PI()*AE257,3)</f>
        <v>0.14499999999999999</v>
      </c>
      <c r="AJ249" s="16"/>
      <c r="AK249" s="17" t="s">
        <v>309</v>
      </c>
      <c r="AL249" s="17">
        <f>ROUND(SIN(AI254)*SINH(AI254),3)</f>
        <v>2.9540000000000002</v>
      </c>
      <c r="AN249" s="19" t="s">
        <v>316</v>
      </c>
      <c r="AO249" s="17">
        <f>ROUND((1/AI260)*((AI256*(AI259-AI256)-AI258*(AI258+AI257)-AI256*COS(AL246))*AL247+(AI258+AI257)*SIN(AL246)),3)</f>
        <v>-0.13800000000000001</v>
      </c>
      <c r="AP249" s="17"/>
      <c r="AQ249" s="17"/>
      <c r="AR249" s="17"/>
      <c r="AS249" s="17"/>
      <c r="AT249" s="76"/>
      <c r="AU249" s="77"/>
      <c r="AV249" s="78"/>
      <c r="AW249" s="78"/>
      <c r="AX249" s="78"/>
      <c r="AY249" s="78"/>
      <c r="AZ249" s="78"/>
      <c r="BA249" s="78"/>
      <c r="BB249" s="78"/>
      <c r="BC249" s="78"/>
      <c r="BD249" s="78"/>
      <c r="BE249" s="76"/>
      <c r="BF249" s="77"/>
      <c r="BG249" s="79"/>
      <c r="BH249" s="78"/>
      <c r="BI249" s="78"/>
      <c r="BJ249" s="78"/>
      <c r="BK249" s="78"/>
      <c r="BL249" s="78"/>
      <c r="BM249" s="78"/>
      <c r="BN249" s="78"/>
      <c r="BO249" s="78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</row>
    <row r="250" spans="1:77" ht="12.95" customHeight="1">
      <c r="A250" s="6"/>
      <c r="B250" s="11" t="s">
        <v>483</v>
      </c>
      <c r="C250" s="11" t="s">
        <v>207</v>
      </c>
      <c r="D250" s="14" t="s">
        <v>488</v>
      </c>
      <c r="E250" s="14" t="s">
        <v>98</v>
      </c>
      <c r="F250" s="421" t="s">
        <v>481</v>
      </c>
      <c r="G250" s="421"/>
      <c r="H250" s="11" t="s">
        <v>207</v>
      </c>
      <c r="I250" s="420">
        <f>R232</f>
        <v>0.25600000000000001</v>
      </c>
      <c r="J250" s="420"/>
      <c r="K250" s="14" t="s">
        <v>98</v>
      </c>
      <c r="L250" s="420">
        <f>P75</f>
        <v>233.98</v>
      </c>
      <c r="M250" s="420"/>
      <c r="N250" s="420"/>
      <c r="O250" s="25" t="s">
        <v>207</v>
      </c>
      <c r="P250" s="384">
        <f>I250*L250</f>
        <v>59.898879999999998</v>
      </c>
      <c r="Q250" s="384"/>
      <c r="R250" s="384"/>
      <c r="S250" s="384"/>
      <c r="T250" s="16" t="s">
        <v>210</v>
      </c>
      <c r="U250" s="19"/>
      <c r="V250" s="19"/>
      <c r="W250" s="6"/>
      <c r="X250" s="6"/>
      <c r="Y250" s="6"/>
      <c r="Z250" s="6"/>
      <c r="AA250" s="29"/>
      <c r="AB250" s="16" t="s">
        <v>282</v>
      </c>
      <c r="AC250" s="16" t="s">
        <v>281</v>
      </c>
      <c r="AD250" s="16"/>
      <c r="AE250" s="84">
        <f>D261</f>
        <v>284615.56171253818</v>
      </c>
      <c r="AF250" s="16" t="s">
        <v>220</v>
      </c>
      <c r="AG250" s="16"/>
      <c r="AH250" s="16" t="s">
        <v>301</v>
      </c>
      <c r="AI250" s="16">
        <f>(EXP(-AI246)-COS(AI247))*EXP(AI248)-(EXP(AI246)-COS(AI247))*EXP(-AI248)+2*SINH(AI246)*COS(AI249)</f>
        <v>0.26687064241343905</v>
      </c>
      <c r="AJ250" s="16"/>
      <c r="AK250" s="17" t="s">
        <v>310</v>
      </c>
      <c r="AL250" s="16">
        <f>ROUND(SIN(AI254)*COSH(AI254),3)</f>
        <v>3.1070000000000002</v>
      </c>
      <c r="AM250" s="16"/>
      <c r="AN250" s="19" t="s">
        <v>317</v>
      </c>
      <c r="AO250" s="16">
        <f>ROUND((1/AI260)*(AI256*(AI258-AI257)-AI259*(AI258+AI257)+(AI258+AI257)*COS(AL246)+AI256*AL247*SIN(AL246)),3)</f>
        <v>-1.0680000000000001</v>
      </c>
    </row>
    <row r="251" spans="1:77" s="19" customFormat="1" ht="12.95" customHeight="1">
      <c r="B251" s="14" t="s">
        <v>484</v>
      </c>
      <c r="C251" s="11" t="s">
        <v>207</v>
      </c>
      <c r="D251" s="14" t="s">
        <v>488</v>
      </c>
      <c r="E251" s="14" t="s">
        <v>98</v>
      </c>
      <c r="F251" s="421" t="s">
        <v>482</v>
      </c>
      <c r="G251" s="421"/>
      <c r="H251" s="11" t="s">
        <v>207</v>
      </c>
      <c r="I251" s="420">
        <f>R232</f>
        <v>0.25600000000000001</v>
      </c>
      <c r="J251" s="420"/>
      <c r="K251" s="14" t="s">
        <v>98</v>
      </c>
      <c r="L251" s="631">
        <f>IF(MAX(O52:R55)&gt;=760,MAX(O52:R55),760)</f>
        <v>760</v>
      </c>
      <c r="M251" s="631"/>
      <c r="N251" s="631"/>
      <c r="O251" s="25" t="s">
        <v>207</v>
      </c>
      <c r="P251" s="384">
        <f>I251*L251</f>
        <v>194.56</v>
      </c>
      <c r="Q251" s="384"/>
      <c r="R251" s="384"/>
      <c r="S251" s="384"/>
      <c r="T251" s="16" t="s">
        <v>210</v>
      </c>
      <c r="AA251" s="16"/>
      <c r="AB251" s="16" t="s">
        <v>269</v>
      </c>
      <c r="AC251" s="16" t="s">
        <v>265</v>
      </c>
      <c r="AD251" s="16"/>
      <c r="AE251" s="85">
        <f>R15</f>
        <v>6</v>
      </c>
      <c r="AF251" s="16" t="s">
        <v>8</v>
      </c>
      <c r="AG251" s="16"/>
      <c r="AH251" s="16" t="s">
        <v>302</v>
      </c>
      <c r="AI251" s="16">
        <f>2*SIN(AI247)*SINH(AI248)-2*SIN(AI249)*SINH(AI246)</f>
        <v>-4.0183887094585979E-2</v>
      </c>
      <c r="AJ251" s="16"/>
      <c r="AK251" s="17" t="s">
        <v>311</v>
      </c>
      <c r="AL251" s="16">
        <f>ROUND(COS(AI254)*SINH(AI254),3)</f>
        <v>-0.80900000000000005</v>
      </c>
      <c r="AM251" s="16"/>
      <c r="AN251" s="19" t="s">
        <v>318</v>
      </c>
      <c r="AO251" s="16">
        <f>ROUND((1/AI260)*((AI256*(AI259+AI256)-AI257*(AI258+AI257)-AI256*COS(AL246))*AL247+(AI258+AI257)*SIN(AL246)),3)</f>
        <v>-2.5000000000000001E-2</v>
      </c>
      <c r="AW251" s="20"/>
      <c r="AX251" s="20"/>
      <c r="AY251" s="20"/>
      <c r="AZ251" s="20"/>
      <c r="BA251" s="20"/>
      <c r="BB251" s="20"/>
      <c r="BC251" s="20"/>
      <c r="BD251" s="20"/>
      <c r="BE251" s="21"/>
      <c r="BF251" s="21"/>
      <c r="BG251" s="22"/>
      <c r="BH251" s="20"/>
      <c r="BI251" s="20"/>
      <c r="BJ251" s="20"/>
      <c r="BK251" s="20"/>
      <c r="BL251" s="20"/>
      <c r="BM251" s="20"/>
      <c r="BN251" s="20"/>
      <c r="BO251" s="20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</row>
    <row r="252" spans="1:77" s="19" customFormat="1" ht="12.95" customHeight="1">
      <c r="B252" s="25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AA252" s="16"/>
      <c r="AB252" s="16" t="s">
        <v>272</v>
      </c>
      <c r="AC252" s="16" t="s">
        <v>266</v>
      </c>
      <c r="AD252" s="16"/>
      <c r="AE252" s="16">
        <f>R253</f>
        <v>91.597715849413476</v>
      </c>
      <c r="AF252" s="16" t="s">
        <v>8</v>
      </c>
      <c r="AG252" s="16"/>
      <c r="AH252" s="16"/>
      <c r="AI252" s="16"/>
      <c r="AJ252" s="16"/>
      <c r="AK252" s="17" t="s">
        <v>312</v>
      </c>
      <c r="AL252" s="16">
        <f>ROUND(COS(AI254)*COSH(AI254),3)</f>
        <v>-0.85099999999999998</v>
      </c>
      <c r="AM252" s="16"/>
      <c r="AN252" s="19" t="s">
        <v>319</v>
      </c>
      <c r="AO252" s="16">
        <f>ROUND((1/AI260)*((AI258*(AI259+AI256)-AI257*(AI259-AI256)+(AI257-AI258)*COS(AL246))*AL247-2*AI256*SIN(AL246)),3)</f>
        <v>0.13600000000000001</v>
      </c>
      <c r="AW252" s="20"/>
      <c r="AX252" s="20"/>
      <c r="AY252" s="20"/>
      <c r="AZ252" s="20"/>
      <c r="BA252" s="20"/>
      <c r="BB252" s="20"/>
      <c r="BC252" s="20"/>
      <c r="BD252" s="20"/>
      <c r="BE252" s="21"/>
      <c r="BF252" s="21"/>
      <c r="BG252" s="22"/>
      <c r="BH252" s="20"/>
      <c r="BI252" s="20"/>
      <c r="BJ252" s="20"/>
      <c r="BK252" s="20"/>
      <c r="BL252" s="20"/>
      <c r="BM252" s="20"/>
      <c r="BN252" s="20"/>
      <c r="BO252" s="20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</row>
    <row r="253" spans="1:77" s="16" customFormat="1" ht="12.95" customHeight="1">
      <c r="B253" s="25" t="s">
        <v>232</v>
      </c>
      <c r="C253" s="25" t="s">
        <v>207</v>
      </c>
      <c r="D253" s="25" t="s">
        <v>233</v>
      </c>
      <c r="E253" s="25">
        <v>2</v>
      </c>
      <c r="F253" s="14" t="s">
        <v>98</v>
      </c>
      <c r="G253" s="25" t="s">
        <v>483</v>
      </c>
      <c r="H253" s="14" t="s">
        <v>98</v>
      </c>
      <c r="I253" s="25" t="s">
        <v>489</v>
      </c>
      <c r="J253" s="25" t="s">
        <v>234</v>
      </c>
      <c r="K253" s="50" t="s">
        <v>235</v>
      </c>
      <c r="L253" s="25" t="s">
        <v>233</v>
      </c>
      <c r="M253" s="25" t="s">
        <v>483</v>
      </c>
      <c r="N253" s="25" t="s">
        <v>236</v>
      </c>
      <c r="O253" s="25" t="s">
        <v>489</v>
      </c>
      <c r="P253" s="25" t="s">
        <v>234</v>
      </c>
      <c r="Q253" s="25" t="s">
        <v>207</v>
      </c>
      <c r="R253" s="384">
        <f>(2*P250*P251)/(P250+P251)</f>
        <v>91.597715849413476</v>
      </c>
      <c r="S253" s="384"/>
      <c r="T253" s="384"/>
      <c r="U253" s="384"/>
      <c r="V253" s="80" t="s">
        <v>210</v>
      </c>
      <c r="AB253" s="16" t="s">
        <v>270</v>
      </c>
      <c r="AC253" s="16" t="s">
        <v>268</v>
      </c>
      <c r="AE253" s="16">
        <f>R254</f>
        <v>129.53873203663755</v>
      </c>
      <c r="AF253" s="16" t="s">
        <v>8</v>
      </c>
      <c r="AH253" s="16" t="s">
        <v>303</v>
      </c>
      <c r="AI253" s="16">
        <f>ROUND(AE254*AE258*AE252,3)</f>
        <v>3.6760000000000002</v>
      </c>
      <c r="AJ253" s="25"/>
      <c r="AN253" s="19" t="s">
        <v>320</v>
      </c>
      <c r="AO253" s="16">
        <f>ROUND((1/AI260)*((AI258-AI257)^2+2*AI256*AI259-2*AI256*COS(AL246)-(AI257-AI258)*AL247*SIN(AL246)),3)</f>
        <v>1.048</v>
      </c>
    </row>
    <row r="254" spans="1:77" s="16" customFormat="1" ht="12.95" customHeight="1">
      <c r="B254" s="25" t="s">
        <v>237</v>
      </c>
      <c r="C254" s="25" t="s">
        <v>207</v>
      </c>
      <c r="D254" s="381" t="s">
        <v>238</v>
      </c>
      <c r="E254" s="381"/>
      <c r="F254" s="14" t="s">
        <v>98</v>
      </c>
      <c r="G254" s="25" t="s">
        <v>232</v>
      </c>
      <c r="H254" s="25" t="s">
        <v>207</v>
      </c>
      <c r="I254" s="381">
        <f>SQRT(2)</f>
        <v>1.4142135623730951</v>
      </c>
      <c r="J254" s="381"/>
      <c r="K254" s="381"/>
      <c r="L254" s="14" t="s">
        <v>98</v>
      </c>
      <c r="M254" s="381">
        <f>R253</f>
        <v>91.597715849413476</v>
      </c>
      <c r="N254" s="381"/>
      <c r="O254" s="381"/>
      <c r="P254" s="381"/>
      <c r="Q254" s="25" t="s">
        <v>207</v>
      </c>
      <c r="R254" s="384">
        <f>I254*M254</f>
        <v>129.53873203663755</v>
      </c>
      <c r="S254" s="384"/>
      <c r="T254" s="384"/>
      <c r="U254" s="384"/>
      <c r="V254" s="80" t="s">
        <v>210</v>
      </c>
      <c r="X254" s="25"/>
      <c r="AB254" s="16" t="s">
        <v>274</v>
      </c>
      <c r="AC254" s="16" t="s">
        <v>273</v>
      </c>
      <c r="AE254" s="16">
        <f>ROUND(AE251/AE252,3)</f>
        <v>6.6000000000000003E-2</v>
      </c>
      <c r="AH254" s="16" t="s">
        <v>304</v>
      </c>
      <c r="AI254" s="16">
        <f>ROUND(AE256*AE258*AE252,3)</f>
        <v>1.8380000000000001</v>
      </c>
    </row>
    <row r="255" spans="1:77" s="16" customFormat="1" ht="12.95" customHeight="1">
      <c r="B255" s="25"/>
      <c r="X255" s="25"/>
      <c r="AB255" s="16" t="s">
        <v>275</v>
      </c>
      <c r="AC255" s="16" t="s">
        <v>276</v>
      </c>
      <c r="AE255" s="16">
        <f>ROUND(AE251/AE253,3)</f>
        <v>4.5999999999999999E-2</v>
      </c>
      <c r="AK255" s="16" t="s">
        <v>321</v>
      </c>
      <c r="AL255" s="16">
        <f>ROUND(2*PI()*AE256,3)</f>
        <v>0.20699999999999999</v>
      </c>
      <c r="AN255" s="16" t="s">
        <v>324</v>
      </c>
      <c r="AO255" s="52">
        <f>ROUND(SQRT(AI250^2+AI251^2)/(EXP(AI246)-EXP(-AI246)),3)</f>
        <v>0.11799999999999999</v>
      </c>
    </row>
    <row r="256" spans="1:77" s="18" customFormat="1" ht="12.95" customHeight="1">
      <c r="A256" s="11"/>
      <c r="B256" s="13" t="s">
        <v>247</v>
      </c>
      <c r="C256" s="11"/>
      <c r="D256" s="11"/>
      <c r="E256" s="11"/>
      <c r="F256" s="11"/>
      <c r="G256" s="11"/>
      <c r="H256" s="11"/>
      <c r="I256" s="11"/>
      <c r="J256" s="11"/>
      <c r="K256" s="17"/>
      <c r="L256" s="17"/>
      <c r="M256" s="17"/>
      <c r="N256" s="11"/>
      <c r="O256" s="15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9" t="s">
        <v>271</v>
      </c>
      <c r="AC256" s="23" t="s">
        <v>278</v>
      </c>
      <c r="AD256" s="17"/>
      <c r="AE256" s="17">
        <f>ROUND(AE251/(2*AE252),3)</f>
        <v>3.3000000000000002E-2</v>
      </c>
      <c r="AF256" s="17"/>
      <c r="AG256" s="17"/>
      <c r="AH256" s="17" t="s">
        <v>305</v>
      </c>
      <c r="AI256" s="17">
        <f>ROUND(SIN(AI253)*SINH(AI253),3)</f>
        <v>-10.050000000000001</v>
      </c>
      <c r="AJ256" s="17"/>
      <c r="AK256" s="16" t="s">
        <v>322</v>
      </c>
      <c r="AL256" s="16">
        <f>ROUND(AO251*AL251-AO249*AL250-AO252*AL249-SIN(AL255),3)</f>
        <v>-0.158</v>
      </c>
      <c r="AM256" s="16"/>
      <c r="AN256" s="16" t="s">
        <v>325</v>
      </c>
      <c r="AO256" s="52">
        <f>ROUND(SQRT(AL256^2+AL257^2),3)</f>
        <v>0.76</v>
      </c>
      <c r="AP256" s="17"/>
      <c r="AQ256" s="17"/>
      <c r="AR256" s="17"/>
      <c r="AS256" s="17"/>
      <c r="AT256" s="76"/>
      <c r="AU256" s="77"/>
      <c r="AV256" s="78"/>
      <c r="AW256" s="78"/>
      <c r="AX256" s="78"/>
      <c r="AY256" s="78"/>
      <c r="AZ256" s="78"/>
      <c r="BA256" s="78"/>
      <c r="BB256" s="78"/>
      <c r="BC256" s="78"/>
      <c r="BD256" s="78"/>
      <c r="BE256" s="76"/>
      <c r="BF256" s="77"/>
      <c r="BG256" s="79"/>
      <c r="BH256" s="78"/>
      <c r="BI256" s="78"/>
      <c r="BJ256" s="78"/>
      <c r="BK256" s="78"/>
      <c r="BL256" s="78"/>
      <c r="BM256" s="78"/>
      <c r="BN256" s="78"/>
      <c r="BO256" s="78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</row>
    <row r="257" spans="1:77" s="16" customFormat="1" ht="12.95" customHeight="1">
      <c r="B257" s="25" t="s">
        <v>486</v>
      </c>
      <c r="C257" s="25" t="s">
        <v>207</v>
      </c>
      <c r="D257" s="381">
        <v>1.5</v>
      </c>
      <c r="E257" s="381"/>
      <c r="F257" s="14" t="s">
        <v>98</v>
      </c>
      <c r="G257" s="25" t="s">
        <v>239</v>
      </c>
      <c r="H257" s="50" t="s">
        <v>235</v>
      </c>
      <c r="I257" s="25" t="s">
        <v>240</v>
      </c>
      <c r="J257" s="14" t="s">
        <v>98</v>
      </c>
      <c r="K257" s="16" t="s">
        <v>485</v>
      </c>
      <c r="L257" s="50" t="s">
        <v>207</v>
      </c>
      <c r="M257" s="381">
        <v>1.5</v>
      </c>
      <c r="N257" s="381"/>
      <c r="O257" s="14" t="s">
        <v>98</v>
      </c>
      <c r="P257" s="632">
        <f>K6</f>
        <v>17</v>
      </c>
      <c r="Q257" s="632"/>
      <c r="R257" s="50" t="s">
        <v>235</v>
      </c>
      <c r="S257" s="381">
        <v>9.81</v>
      </c>
      <c r="T257" s="381"/>
      <c r="U257" s="14" t="s">
        <v>98</v>
      </c>
      <c r="V257" s="633">
        <f>P75</f>
        <v>233.98</v>
      </c>
      <c r="W257" s="634"/>
      <c r="X257" s="25"/>
      <c r="AB257" s="19" t="s">
        <v>277</v>
      </c>
      <c r="AC257" s="16" t="s">
        <v>279</v>
      </c>
      <c r="AE257" s="16">
        <f>ROUND(AE251/(2*AE253),3)</f>
        <v>2.3E-2</v>
      </c>
      <c r="AH257" s="17" t="s">
        <v>306</v>
      </c>
      <c r="AI257" s="16">
        <f>ROUND(SIN(AI253)*COSH(AI253),3)</f>
        <v>-10.063000000000001</v>
      </c>
      <c r="AK257" s="16" t="s">
        <v>323</v>
      </c>
      <c r="AL257" s="16">
        <f>ROUND(AL252+AO250*AL251-AO250*AL250-AO253*AL249-COS(AL255),3)</f>
        <v>-0.74299999999999999</v>
      </c>
    </row>
    <row r="258" spans="1:77" s="16" customFormat="1" ht="12.95" customHeight="1">
      <c r="B258" s="25"/>
      <c r="C258" s="25" t="s">
        <v>207</v>
      </c>
      <c r="D258" s="422">
        <f>M257*P257/S257*(V257^2)</f>
        <v>142307.78085626909</v>
      </c>
      <c r="E258" s="422"/>
      <c r="F258" s="422"/>
      <c r="G258" s="16" t="s">
        <v>220</v>
      </c>
      <c r="Y258" s="86"/>
      <c r="Z258" s="86"/>
      <c r="AB258" s="87" t="s">
        <v>286</v>
      </c>
      <c r="AC258" s="16" t="s">
        <v>287</v>
      </c>
      <c r="AE258" s="16">
        <f>ROUND((AE250/(4*AE247*AE248))^(1/4),5)</f>
        <v>0.60809000000000002</v>
      </c>
      <c r="AH258" s="17" t="s">
        <v>307</v>
      </c>
      <c r="AI258" s="16">
        <f>ROUND(COS(AI253)*SINH(AI253),3)</f>
        <v>-16.98</v>
      </c>
    </row>
    <row r="259" spans="1:77" s="16" customFormat="1" ht="12.95" customHeight="1">
      <c r="B259" s="25"/>
      <c r="C259" s="25" t="s">
        <v>207</v>
      </c>
      <c r="D259" s="423">
        <f>D258/1000</f>
        <v>142.30778085626909</v>
      </c>
      <c r="E259" s="423"/>
      <c r="F259" s="423"/>
      <c r="G259" s="16" t="s">
        <v>206</v>
      </c>
      <c r="J259" s="25"/>
      <c r="K259" s="25"/>
      <c r="L259" s="25"/>
      <c r="M259" s="25"/>
      <c r="AB259" s="16" t="s">
        <v>290</v>
      </c>
      <c r="AC259" s="16" t="s">
        <v>295</v>
      </c>
      <c r="AE259" s="16">
        <f>ROUND((AE249/(AE247*AE246))^(1/2),6)</f>
        <v>0.16422999999999999</v>
      </c>
      <c r="AH259" s="17" t="s">
        <v>308</v>
      </c>
      <c r="AI259" s="16">
        <f>ROUND(COS(AI253)*COSH(AI253),3)</f>
        <v>-17.001999999999999</v>
      </c>
    </row>
    <row r="260" spans="1:77" s="16" customFormat="1" ht="12.95" customHeight="1">
      <c r="B260" s="25" t="s">
        <v>487</v>
      </c>
      <c r="C260" s="25" t="s">
        <v>207</v>
      </c>
      <c r="D260" s="424">
        <v>3</v>
      </c>
      <c r="E260" s="424"/>
      <c r="F260" s="14" t="s">
        <v>98</v>
      </c>
      <c r="G260" s="25" t="s">
        <v>239</v>
      </c>
      <c r="H260" s="50" t="s">
        <v>235</v>
      </c>
      <c r="I260" s="25" t="s">
        <v>240</v>
      </c>
      <c r="J260" s="14" t="s">
        <v>98</v>
      </c>
      <c r="K260" s="16" t="s">
        <v>485</v>
      </c>
      <c r="L260" s="50" t="s">
        <v>207</v>
      </c>
      <c r="M260" s="424">
        <v>3</v>
      </c>
      <c r="N260" s="424"/>
      <c r="O260" s="14" t="s">
        <v>98</v>
      </c>
      <c r="P260" s="632">
        <f>K6</f>
        <v>17</v>
      </c>
      <c r="Q260" s="632"/>
      <c r="R260" s="50" t="s">
        <v>235</v>
      </c>
      <c r="S260" s="381">
        <v>9.81</v>
      </c>
      <c r="T260" s="381"/>
      <c r="U260" s="14" t="s">
        <v>98</v>
      </c>
      <c r="V260" s="633">
        <f>P75</f>
        <v>233.98</v>
      </c>
      <c r="W260" s="634"/>
      <c r="X260" s="86"/>
      <c r="Y260" s="86"/>
      <c r="AB260" s="16" t="s">
        <v>294</v>
      </c>
      <c r="AC260" s="16" t="s">
        <v>296</v>
      </c>
      <c r="AE260" s="16">
        <f>ROUND((AE250/(AE247*AE248))^(1/4),5)</f>
        <v>0.85997999999999997</v>
      </c>
      <c r="AH260" s="87" t="s">
        <v>313</v>
      </c>
      <c r="AI260" s="16">
        <f>ROUND((AI258+AI257)*(AI258-AI257)+2*AI256^2,3)</f>
        <v>389.06099999999998</v>
      </c>
    </row>
    <row r="261" spans="1:77" s="16" customFormat="1" ht="12.95" customHeight="1">
      <c r="B261" s="25"/>
      <c r="C261" s="25" t="s">
        <v>207</v>
      </c>
      <c r="D261" s="422">
        <f>M260*P260/S260*(V260^2)</f>
        <v>284615.56171253818</v>
      </c>
      <c r="E261" s="422"/>
      <c r="F261" s="422"/>
      <c r="G261" s="16" t="s">
        <v>220</v>
      </c>
      <c r="AB261" s="19"/>
      <c r="AC261" s="23"/>
      <c r="AD261" s="17"/>
      <c r="AE261" s="88"/>
      <c r="AF261" s="17"/>
      <c r="AG261" s="17"/>
      <c r="AH261" s="17"/>
      <c r="AI261" s="17"/>
      <c r="AJ261" s="17"/>
      <c r="AK261" s="17"/>
      <c r="AL261" s="17"/>
      <c r="AM261" s="18"/>
      <c r="AN261" s="19"/>
      <c r="AO261" s="17"/>
    </row>
    <row r="262" spans="1:77" s="16" customFormat="1" ht="12.95" customHeight="1">
      <c r="B262" s="25"/>
      <c r="C262" s="25" t="s">
        <v>207</v>
      </c>
      <c r="D262" s="423">
        <f>D261/1000</f>
        <v>284.61556171253818</v>
      </c>
      <c r="E262" s="423"/>
      <c r="F262" s="423"/>
      <c r="G262" s="16" t="s">
        <v>206</v>
      </c>
      <c r="AB262" s="19"/>
      <c r="AE262" s="89"/>
      <c r="AH262" s="17"/>
      <c r="AK262" s="17"/>
      <c r="AN262" s="19"/>
    </row>
    <row r="263" spans="1:77" s="16" customFormat="1" ht="12.95" customHeight="1">
      <c r="B263" s="25"/>
      <c r="AB263" s="87"/>
      <c r="AH263" s="17"/>
      <c r="AK263" s="17"/>
      <c r="AN263" s="19"/>
    </row>
    <row r="264" spans="1:77" s="18" customFormat="1" ht="12.95" customHeight="1">
      <c r="A264" s="11"/>
      <c r="B264" s="13" t="s">
        <v>260</v>
      </c>
      <c r="C264" s="11"/>
      <c r="D264" s="11"/>
      <c r="E264" s="11"/>
      <c r="F264" s="11"/>
      <c r="G264" s="11"/>
      <c r="H264" s="11"/>
      <c r="I264" s="11"/>
      <c r="J264" s="11"/>
      <c r="K264" s="17"/>
      <c r="L264" s="17"/>
      <c r="M264" s="17"/>
      <c r="N264" s="11"/>
      <c r="O264" s="15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P264" s="16"/>
      <c r="AQ264" s="17"/>
      <c r="AR264" s="17"/>
      <c r="AS264" s="17"/>
      <c r="AT264" s="76"/>
      <c r="AU264" s="77"/>
      <c r="AV264" s="78"/>
      <c r="AW264" s="78"/>
      <c r="AX264" s="78"/>
      <c r="AY264" s="78"/>
      <c r="AZ264" s="78"/>
      <c r="BA264" s="78"/>
      <c r="BB264" s="78"/>
      <c r="BC264" s="78"/>
      <c r="BD264" s="78"/>
      <c r="BE264" s="76"/>
      <c r="BF264" s="77"/>
      <c r="BG264" s="79"/>
      <c r="BH264" s="78"/>
      <c r="BI264" s="78"/>
      <c r="BJ264" s="78"/>
      <c r="BK264" s="78"/>
      <c r="BL264" s="78"/>
      <c r="BM264" s="78"/>
      <c r="BN264" s="78"/>
      <c r="BO264" s="78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</row>
    <row r="265" spans="1:77" s="16" customFormat="1" ht="12.95" customHeight="1">
      <c r="B265" s="61" t="s">
        <v>490</v>
      </c>
      <c r="C265" s="25" t="s">
        <v>207</v>
      </c>
      <c r="D265" s="25" t="s">
        <v>241</v>
      </c>
      <c r="E265" s="25" t="s">
        <v>492</v>
      </c>
      <c r="F265" s="50" t="s">
        <v>235</v>
      </c>
      <c r="G265" s="25" t="s">
        <v>205</v>
      </c>
      <c r="H265" s="14" t="s">
        <v>98</v>
      </c>
      <c r="I265" s="25" t="s">
        <v>493</v>
      </c>
      <c r="L265" s="25" t="s">
        <v>207</v>
      </c>
      <c r="M265" s="425">
        <f>SQRT(D258/(R12*R16))</f>
        <v>0.16423023814290713</v>
      </c>
      <c r="N265" s="425"/>
      <c r="O265" s="425"/>
      <c r="P265" s="425"/>
    </row>
    <row r="266" spans="1:77" s="16" customFormat="1" ht="12.95" customHeight="1">
      <c r="B266" s="61" t="s">
        <v>491</v>
      </c>
      <c r="C266" s="25" t="s">
        <v>207</v>
      </c>
      <c r="D266" s="129" t="s">
        <v>494</v>
      </c>
      <c r="E266" s="25" t="s">
        <v>241</v>
      </c>
      <c r="F266" s="25" t="s">
        <v>233</v>
      </c>
      <c r="G266" s="25" t="s">
        <v>487</v>
      </c>
      <c r="H266" s="50" t="s">
        <v>235</v>
      </c>
      <c r="I266" s="381" t="s">
        <v>242</v>
      </c>
      <c r="J266" s="381"/>
      <c r="K266" s="16" t="s">
        <v>234</v>
      </c>
      <c r="L266" s="25" t="s">
        <v>207</v>
      </c>
      <c r="M266" s="16">
        <v>4</v>
      </c>
      <c r="N266" s="25" t="s">
        <v>241</v>
      </c>
      <c r="O266" s="16" t="s">
        <v>233</v>
      </c>
      <c r="P266" s="422">
        <f>D261</f>
        <v>284615.56171253818</v>
      </c>
      <c r="Q266" s="381"/>
      <c r="R266" s="381"/>
      <c r="S266" s="50" t="s">
        <v>235</v>
      </c>
      <c r="T266" s="381">
        <f>R12*R17</f>
        <v>520370.96519122197</v>
      </c>
      <c r="U266" s="381"/>
      <c r="V266" s="381"/>
      <c r="W266" s="16" t="s">
        <v>234</v>
      </c>
    </row>
    <row r="267" spans="1:77" s="16" customFormat="1" ht="12.95" customHeight="1">
      <c r="B267" s="25"/>
      <c r="C267" s="25" t="s">
        <v>207</v>
      </c>
      <c r="D267" s="425">
        <f>(P266/T266)^(1/4)</f>
        <v>0.85997612899162779</v>
      </c>
      <c r="E267" s="425"/>
      <c r="F267" s="425"/>
      <c r="G267" s="425"/>
    </row>
    <row r="268" spans="1:77" s="16" customFormat="1" ht="12.95" customHeight="1">
      <c r="B268" s="25" t="s">
        <v>495</v>
      </c>
      <c r="C268" s="25" t="s">
        <v>207</v>
      </c>
      <c r="D268" s="425">
        <f>1/(1+(2*PI()/(M265*R254))^2)</f>
        <v>0.9197705682069357</v>
      </c>
      <c r="E268" s="425"/>
      <c r="F268" s="425"/>
      <c r="G268" s="425"/>
      <c r="I268" s="25" t="s">
        <v>496</v>
      </c>
      <c r="J268" s="25" t="s">
        <v>207</v>
      </c>
      <c r="K268" s="425">
        <f>1/(1+(2*PI()/(D267*R253))^4)</f>
        <v>0.99995952212241423</v>
      </c>
      <c r="L268" s="425"/>
      <c r="M268" s="425"/>
      <c r="N268" s="425"/>
      <c r="AJ268" s="25"/>
    </row>
    <row r="269" spans="1:77" s="16" customFormat="1" ht="12.95" customHeight="1">
      <c r="B269" s="25" t="s">
        <v>497</v>
      </c>
      <c r="C269" s="25" t="s">
        <v>207</v>
      </c>
      <c r="D269" s="424">
        <f>R15</f>
        <v>6</v>
      </c>
      <c r="E269" s="424"/>
      <c r="F269" s="424"/>
      <c r="G269" s="16" t="s">
        <v>498</v>
      </c>
      <c r="X269" s="25"/>
      <c r="Y269" s="25"/>
      <c r="Z269" s="25"/>
      <c r="AA269" s="25"/>
      <c r="AB269" s="61"/>
      <c r="AD269" s="130"/>
      <c r="AE269" s="131"/>
      <c r="AG269" s="25"/>
      <c r="AH269" s="25"/>
      <c r="AI269" s="25"/>
      <c r="AJ269" s="25"/>
    </row>
    <row r="270" spans="1:77" s="16" customFormat="1" ht="12.95" customHeight="1">
      <c r="B270" s="61" t="s">
        <v>331</v>
      </c>
      <c r="C270" s="25" t="s">
        <v>207</v>
      </c>
      <c r="D270" s="381">
        <f>ROUND(D269/R254,3)</f>
        <v>4.5999999999999999E-2</v>
      </c>
      <c r="E270" s="381"/>
      <c r="F270" s="381"/>
      <c r="G270" s="80" t="s">
        <v>332</v>
      </c>
      <c r="H270" s="61" t="s">
        <v>499</v>
      </c>
      <c r="I270" s="25" t="s">
        <v>207</v>
      </c>
      <c r="J270" s="423">
        <f>M265*R254</f>
        <v>21.274176811107218</v>
      </c>
      <c r="K270" s="423"/>
      <c r="L270" s="423"/>
      <c r="M270" s="89" t="s">
        <v>333</v>
      </c>
      <c r="N270" s="132"/>
      <c r="O270" s="49" t="s">
        <v>334</v>
      </c>
      <c r="P270" s="25" t="s">
        <v>1</v>
      </c>
      <c r="Q270" s="381">
        <f>AO255</f>
        <v>0.11799999999999999</v>
      </c>
      <c r="R270" s="381"/>
      <c r="S270" s="381"/>
      <c r="X270" s="25"/>
      <c r="Y270" s="25"/>
      <c r="Z270" s="25"/>
      <c r="AA270" s="25"/>
      <c r="AB270" s="89"/>
      <c r="AD270" s="130"/>
      <c r="AE270" s="130"/>
      <c r="AG270" s="25"/>
      <c r="AH270" s="25"/>
      <c r="AI270" s="25"/>
      <c r="AJ270" s="25"/>
    </row>
    <row r="271" spans="1:77" s="16" customFormat="1" ht="12.95" customHeight="1">
      <c r="B271" s="61" t="s">
        <v>330</v>
      </c>
      <c r="C271" s="25" t="s">
        <v>207</v>
      </c>
      <c r="D271" s="381">
        <f>ROUND(D269/R253,3)</f>
        <v>6.6000000000000003E-2</v>
      </c>
      <c r="E271" s="381"/>
      <c r="F271" s="381"/>
      <c r="G271" s="80" t="s">
        <v>332</v>
      </c>
      <c r="H271" s="61" t="s">
        <v>500</v>
      </c>
      <c r="I271" s="25" t="s">
        <v>207</v>
      </c>
      <c r="J271" s="423">
        <f>D267*R253</f>
        <v>78.771849100653668</v>
      </c>
      <c r="K271" s="423"/>
      <c r="L271" s="423"/>
      <c r="M271" s="89" t="s">
        <v>333</v>
      </c>
      <c r="N271" s="132"/>
      <c r="O271" s="49" t="s">
        <v>335</v>
      </c>
      <c r="P271" s="25" t="s">
        <v>1</v>
      </c>
      <c r="Q271" s="381">
        <f>AO256</f>
        <v>0.76</v>
      </c>
      <c r="R271" s="381"/>
      <c r="S271" s="381"/>
      <c r="X271" s="25"/>
      <c r="Y271" s="25"/>
      <c r="Z271" s="25"/>
      <c r="AA271" s="25"/>
      <c r="AB271" s="89"/>
      <c r="AD271" s="130"/>
      <c r="AE271" s="130"/>
      <c r="AG271" s="25"/>
      <c r="AH271" s="25"/>
      <c r="AI271" s="25"/>
      <c r="AJ271" s="25"/>
    </row>
    <row r="272" spans="1:77" s="16" customFormat="1" ht="12.95" customHeight="1">
      <c r="B272" s="25" t="s">
        <v>501</v>
      </c>
      <c r="C272" s="25" t="s">
        <v>207</v>
      </c>
      <c r="D272" s="423">
        <f>D268*((PI()*D247)/R253)*AE247</f>
        <v>24793.790727117037</v>
      </c>
      <c r="E272" s="423"/>
      <c r="F272" s="423"/>
      <c r="G272" s="651" t="s">
        <v>326</v>
      </c>
      <c r="H272" s="651"/>
      <c r="I272" s="25" t="s">
        <v>1</v>
      </c>
      <c r="J272" s="423">
        <f>ROUND(D272/1000,3)</f>
        <v>24.794</v>
      </c>
      <c r="K272" s="423"/>
      <c r="L272" s="423"/>
      <c r="M272" s="650" t="s">
        <v>327</v>
      </c>
      <c r="N272" s="650"/>
      <c r="X272" s="25"/>
      <c r="Y272" s="25"/>
      <c r="Z272" s="25"/>
      <c r="AA272" s="25"/>
      <c r="AB272" s="89"/>
      <c r="AD272" s="130"/>
      <c r="AE272" s="130"/>
      <c r="AG272" s="25"/>
      <c r="AH272" s="25"/>
      <c r="AI272" s="25"/>
      <c r="AJ272" s="25"/>
    </row>
    <row r="273" spans="1:36" s="16" customFormat="1" ht="12.95" customHeight="1">
      <c r="B273" s="61" t="s">
        <v>502</v>
      </c>
      <c r="C273" s="25" t="s">
        <v>207</v>
      </c>
      <c r="D273" s="423">
        <f>K268*((2*(PI()^2)*AE245*D247)/(R253^2))*AE247</f>
        <v>1664.1159262112685</v>
      </c>
      <c r="E273" s="423"/>
      <c r="F273" s="423"/>
      <c r="G273" s="651" t="s">
        <v>326</v>
      </c>
      <c r="H273" s="651"/>
      <c r="I273" s="25" t="s">
        <v>1</v>
      </c>
      <c r="J273" s="423">
        <f>ROUND(D273/1000,3)</f>
        <v>1.6639999999999999</v>
      </c>
      <c r="K273" s="423"/>
      <c r="L273" s="423"/>
      <c r="M273" s="650" t="s">
        <v>327</v>
      </c>
      <c r="N273" s="650"/>
      <c r="X273" s="25"/>
      <c r="Y273" s="25"/>
      <c r="Z273" s="25"/>
      <c r="AA273" s="25"/>
      <c r="AB273" s="89"/>
      <c r="AD273" s="130"/>
      <c r="AE273" s="130"/>
      <c r="AG273" s="25"/>
      <c r="AH273" s="25"/>
      <c r="AI273" s="25"/>
      <c r="AJ273" s="25"/>
    </row>
    <row r="274" spans="1:36" s="16" customFormat="1" ht="12.95" customHeight="1">
      <c r="B274" s="61" t="s">
        <v>503</v>
      </c>
      <c r="C274" s="25" t="s">
        <v>207</v>
      </c>
      <c r="D274" s="635" t="s">
        <v>336</v>
      </c>
      <c r="E274" s="635"/>
      <c r="F274" s="14" t="s">
        <v>98</v>
      </c>
      <c r="G274" s="380" t="s">
        <v>505</v>
      </c>
      <c r="H274" s="380"/>
      <c r="I274" s="25" t="s">
        <v>1</v>
      </c>
      <c r="J274" s="423">
        <f>Q270</f>
        <v>0.11799999999999999</v>
      </c>
      <c r="K274" s="423"/>
      <c r="L274" s="423"/>
      <c r="M274" s="14" t="s">
        <v>98</v>
      </c>
      <c r="N274" s="423">
        <f>J272</f>
        <v>24.794</v>
      </c>
      <c r="O274" s="423"/>
      <c r="P274" s="423"/>
      <c r="Q274" s="25" t="s">
        <v>1</v>
      </c>
      <c r="R274" s="381">
        <f>ROUND(J274*N274,3)</f>
        <v>2.9260000000000002</v>
      </c>
      <c r="S274" s="381"/>
      <c r="T274" s="381"/>
      <c r="U274" s="16" t="s">
        <v>327</v>
      </c>
      <c r="X274" s="25"/>
      <c r="Y274" s="25"/>
      <c r="Z274" s="25"/>
      <c r="AA274" s="25"/>
      <c r="AB274" s="89"/>
      <c r="AD274" s="130"/>
      <c r="AE274" s="130"/>
      <c r="AG274" s="25"/>
      <c r="AH274" s="25"/>
      <c r="AI274" s="25"/>
      <c r="AJ274" s="25"/>
    </row>
    <row r="275" spans="1:36" s="16" customFormat="1" ht="12.95" customHeight="1">
      <c r="B275" s="61" t="s">
        <v>504</v>
      </c>
      <c r="C275" s="25" t="s">
        <v>207</v>
      </c>
      <c r="D275" s="635" t="s">
        <v>337</v>
      </c>
      <c r="E275" s="635"/>
      <c r="F275" s="14" t="s">
        <v>98</v>
      </c>
      <c r="G275" s="380" t="s">
        <v>506</v>
      </c>
      <c r="H275" s="380"/>
      <c r="I275" s="25" t="s">
        <v>1</v>
      </c>
      <c r="J275" s="381">
        <f>Q271</f>
        <v>0.76</v>
      </c>
      <c r="K275" s="381"/>
      <c r="L275" s="381"/>
      <c r="M275" s="14" t="s">
        <v>98</v>
      </c>
      <c r="N275" s="423">
        <f>J273</f>
        <v>1.6639999999999999</v>
      </c>
      <c r="O275" s="381"/>
      <c r="P275" s="381"/>
      <c r="Q275" s="25" t="s">
        <v>1</v>
      </c>
      <c r="R275" s="381">
        <f>ROUND(J275*N275,3)</f>
        <v>1.2649999999999999</v>
      </c>
      <c r="S275" s="381"/>
      <c r="T275" s="381"/>
      <c r="U275" s="16" t="s">
        <v>327</v>
      </c>
      <c r="X275" s="25"/>
      <c r="Y275" s="25"/>
      <c r="Z275" s="25"/>
      <c r="AA275" s="25"/>
      <c r="AG275" s="25"/>
      <c r="AH275" s="25"/>
      <c r="AI275" s="25"/>
      <c r="AJ275" s="25"/>
    </row>
    <row r="276" spans="1:36" s="16" customFormat="1" ht="12.95" customHeight="1">
      <c r="B276" s="133" t="s">
        <v>509</v>
      </c>
      <c r="C276" s="25"/>
      <c r="D276" s="143" t="s">
        <v>1</v>
      </c>
      <c r="E276" s="25" t="s">
        <v>241</v>
      </c>
      <c r="F276" s="61" t="s">
        <v>507</v>
      </c>
      <c r="G276" s="25" t="s">
        <v>3</v>
      </c>
      <c r="H276" s="61" t="s">
        <v>508</v>
      </c>
      <c r="I276" s="25" t="s">
        <v>1</v>
      </c>
      <c r="J276" s="381">
        <f>ROUND(SQRT(R274^2+R275^2),3)</f>
        <v>3.1880000000000002</v>
      </c>
      <c r="K276" s="381"/>
      <c r="L276" s="381"/>
      <c r="M276" s="14" t="s">
        <v>327</v>
      </c>
      <c r="N276" s="132"/>
      <c r="O276" s="25"/>
      <c r="P276" s="25"/>
      <c r="Q276" s="25"/>
      <c r="R276" s="25"/>
      <c r="S276" s="25"/>
      <c r="T276" s="25"/>
      <c r="X276" s="25"/>
      <c r="Y276" s="25"/>
      <c r="Z276" s="25"/>
      <c r="AA276" s="25"/>
      <c r="AG276" s="25"/>
      <c r="AH276" s="25"/>
      <c r="AI276" s="25"/>
      <c r="AJ276" s="25"/>
    </row>
    <row r="277" spans="1:36" s="16" customFormat="1" ht="12.95" customHeight="1">
      <c r="G277" s="25"/>
      <c r="X277" s="25"/>
      <c r="Y277" s="25"/>
      <c r="Z277" s="25"/>
      <c r="AA277" s="25"/>
      <c r="AG277" s="25"/>
      <c r="AH277" s="25"/>
      <c r="AI277" s="25"/>
      <c r="AJ277" s="25"/>
    </row>
    <row r="278" spans="1:36" s="16" customFormat="1" ht="12.95" customHeight="1">
      <c r="B278" s="13" t="s">
        <v>338</v>
      </c>
      <c r="C278" s="25"/>
      <c r="D278" s="25"/>
      <c r="E278" s="25"/>
      <c r="F278" s="25"/>
      <c r="G278" s="25"/>
      <c r="X278" s="25"/>
      <c r="Y278" s="25"/>
      <c r="Z278" s="25"/>
      <c r="AA278" s="25"/>
      <c r="AG278" s="25"/>
      <c r="AH278" s="25"/>
      <c r="AI278" s="25"/>
      <c r="AJ278" s="25"/>
    </row>
    <row r="279" spans="1:36" s="16" customFormat="1" ht="12.95" customHeight="1">
      <c r="B279" s="61" t="s">
        <v>541</v>
      </c>
      <c r="C279" s="25" t="s">
        <v>1</v>
      </c>
      <c r="D279" s="25" t="s">
        <v>2</v>
      </c>
      <c r="E279" s="25" t="s">
        <v>241</v>
      </c>
      <c r="F279" s="25" t="s">
        <v>486</v>
      </c>
      <c r="G279" s="50" t="s">
        <v>235</v>
      </c>
      <c r="H279" s="25" t="s">
        <v>205</v>
      </c>
      <c r="I279" s="14" t="s">
        <v>98</v>
      </c>
      <c r="J279" s="25" t="s">
        <v>213</v>
      </c>
      <c r="K279" s="97" t="s">
        <v>4</v>
      </c>
      <c r="L279" s="14" t="s">
        <v>98</v>
      </c>
      <c r="M279" s="381" t="s">
        <v>339</v>
      </c>
      <c r="N279" s="381"/>
      <c r="O279" s="25" t="s">
        <v>207</v>
      </c>
      <c r="P279" s="381">
        <f>ROUND(M265*AE251,3)</f>
        <v>0.98499999999999999</v>
      </c>
      <c r="Q279" s="381"/>
      <c r="R279" s="381"/>
      <c r="S279" s="25"/>
      <c r="T279" s="25"/>
      <c r="U279" s="25"/>
      <c r="V279" s="90"/>
      <c r="W279" s="25"/>
      <c r="X279" s="25"/>
      <c r="Y279" s="25"/>
      <c r="Z279" s="25"/>
      <c r="AA279" s="25"/>
      <c r="AG279" s="25"/>
      <c r="AH279" s="25"/>
      <c r="AI279" s="25"/>
      <c r="AJ279" s="25"/>
    </row>
    <row r="280" spans="1:36" s="16" customFormat="1" ht="12.95" customHeight="1">
      <c r="B280" s="61" t="s">
        <v>542</v>
      </c>
      <c r="C280" s="25" t="s">
        <v>1</v>
      </c>
      <c r="D280" s="425" t="s">
        <v>340</v>
      </c>
      <c r="E280" s="425"/>
      <c r="F280" s="50" t="s">
        <v>235</v>
      </c>
      <c r="G280" s="25" t="s">
        <v>267</v>
      </c>
      <c r="O280" s="25" t="s">
        <v>207</v>
      </c>
      <c r="P280" s="381">
        <f>ROUND((2*PI()*AE251)/R254,3)</f>
        <v>0.29099999999999998</v>
      </c>
      <c r="Q280" s="381"/>
      <c r="R280" s="381"/>
      <c r="S280" s="25"/>
      <c r="T280" s="25"/>
      <c r="U280" s="25"/>
      <c r="V280" s="90"/>
      <c r="W280" s="25"/>
      <c r="X280" s="25"/>
      <c r="Y280" s="25"/>
      <c r="Z280" s="25"/>
      <c r="AA280" s="25"/>
      <c r="AH280" s="25"/>
      <c r="AI280" s="25"/>
      <c r="AJ280" s="25"/>
    </row>
    <row r="281" spans="1:36" s="16" customFormat="1" ht="12.95" customHeight="1">
      <c r="B281" s="61" t="s">
        <v>543</v>
      </c>
      <c r="C281" s="25" t="s">
        <v>1</v>
      </c>
      <c r="D281" s="84">
        <v>1</v>
      </c>
      <c r="E281" s="50" t="s">
        <v>235</v>
      </c>
      <c r="F281" s="97" t="s">
        <v>2</v>
      </c>
      <c r="G281" s="25">
        <v>1</v>
      </c>
      <c r="H281" s="25" t="s">
        <v>3</v>
      </c>
      <c r="I281" s="87" t="s">
        <v>548</v>
      </c>
      <c r="L281" s="16" t="s">
        <v>4</v>
      </c>
      <c r="O281" s="25" t="s">
        <v>207</v>
      </c>
      <c r="P281" s="423">
        <f>ROUND(1/(1+(P280/P279)^2),3)</f>
        <v>0.92</v>
      </c>
      <c r="Q281" s="423"/>
      <c r="R281" s="423"/>
      <c r="S281" s="25"/>
      <c r="T281" s="25"/>
      <c r="U281" s="25"/>
      <c r="V281" s="90"/>
      <c r="W281" s="25"/>
      <c r="X281" s="25"/>
      <c r="Y281" s="25"/>
      <c r="Z281" s="25"/>
      <c r="AA281" s="25"/>
    </row>
    <row r="282" spans="1:36" s="16" customFormat="1" ht="12.95" customHeight="1">
      <c r="B282" s="61" t="s">
        <v>544</v>
      </c>
      <c r="C282" s="25" t="s">
        <v>1</v>
      </c>
      <c r="D282" s="423">
        <f>ROUND((2*P280*ABS(COSH(P279)-COS(P280)))/(P279*SINH(P279)),3)</f>
        <v>0.29099999999999998</v>
      </c>
      <c r="E282" s="423"/>
      <c r="F282" s="423"/>
      <c r="G282" s="25"/>
      <c r="O282" s="25"/>
      <c r="P282" s="132"/>
      <c r="Q282" s="132"/>
      <c r="R282" s="132"/>
      <c r="S282" s="25"/>
      <c r="T282" s="25"/>
      <c r="U282" s="25"/>
      <c r="V282" s="90"/>
      <c r="W282" s="25"/>
      <c r="X282" s="25"/>
      <c r="Y282" s="25"/>
      <c r="Z282" s="25"/>
      <c r="AA282" s="25"/>
    </row>
    <row r="283" spans="1:36" s="16" customFormat="1" ht="12.95" customHeight="1">
      <c r="B283" s="61" t="s">
        <v>545</v>
      </c>
      <c r="C283" s="25" t="s">
        <v>1</v>
      </c>
      <c r="D283" s="423" t="s">
        <v>341</v>
      </c>
      <c r="E283" s="423"/>
      <c r="F283" s="14" t="s">
        <v>98</v>
      </c>
      <c r="G283" s="25" t="s">
        <v>547</v>
      </c>
      <c r="I283" s="25" t="s">
        <v>207</v>
      </c>
      <c r="J283" s="636">
        <f>ROUND((1/SQRT(2))*D247,3)</f>
        <v>3.0000000000000001E-3</v>
      </c>
      <c r="K283" s="636"/>
      <c r="L283" s="636"/>
      <c r="M283" s="80" t="s">
        <v>8</v>
      </c>
      <c r="T283" s="25"/>
      <c r="U283" s="25"/>
      <c r="V283" s="90"/>
      <c r="W283" s="25"/>
      <c r="X283" s="25"/>
      <c r="Y283" s="25"/>
      <c r="Z283" s="25"/>
      <c r="AA283" s="25"/>
    </row>
    <row r="284" spans="1:36" s="16" customFormat="1" ht="12.95" customHeight="1">
      <c r="B284" s="61" t="s">
        <v>546</v>
      </c>
      <c r="C284" s="25" t="s">
        <v>1</v>
      </c>
      <c r="D284" s="380" t="s">
        <v>543</v>
      </c>
      <c r="E284" s="380"/>
      <c r="F284" s="14" t="s">
        <v>98</v>
      </c>
      <c r="G284" s="61" t="s">
        <v>545</v>
      </c>
      <c r="I284" s="25" t="s">
        <v>207</v>
      </c>
      <c r="J284" s="637">
        <f>P281*J283</f>
        <v>2.7600000000000003E-3</v>
      </c>
      <c r="K284" s="637"/>
      <c r="L284" s="637"/>
      <c r="M284" s="80" t="s">
        <v>8</v>
      </c>
      <c r="T284" s="25"/>
      <c r="U284" s="25"/>
      <c r="V284" s="90"/>
      <c r="W284" s="25"/>
      <c r="X284" s="25"/>
      <c r="Y284" s="25"/>
      <c r="Z284" s="25"/>
      <c r="AA284" s="25"/>
    </row>
    <row r="285" spans="1:36" s="16" customFormat="1" ht="12.95" customHeight="1">
      <c r="B285" s="87" t="s">
        <v>540</v>
      </c>
      <c r="C285" s="25"/>
      <c r="D285" s="132"/>
      <c r="E285" s="25" t="s">
        <v>1</v>
      </c>
      <c r="F285" s="61" t="s">
        <v>546</v>
      </c>
      <c r="G285" s="14" t="s">
        <v>98</v>
      </c>
      <c r="H285" s="61" t="s">
        <v>544</v>
      </c>
      <c r="I285" s="61" t="s">
        <v>1</v>
      </c>
      <c r="J285" s="636">
        <f>ROUND(J284*D282,5)</f>
        <v>8.0000000000000004E-4</v>
      </c>
      <c r="K285" s="636"/>
      <c r="L285" s="636"/>
      <c r="M285" s="80" t="s">
        <v>8</v>
      </c>
      <c r="O285" s="25"/>
      <c r="P285" s="132"/>
      <c r="Q285" s="132"/>
      <c r="R285" s="132"/>
      <c r="S285" s="25"/>
      <c r="T285" s="25"/>
      <c r="U285" s="25"/>
      <c r="V285" s="90"/>
      <c r="W285" s="25"/>
      <c r="X285" s="25"/>
      <c r="Y285" s="25"/>
      <c r="Z285" s="25"/>
      <c r="AA285" s="25"/>
    </row>
    <row r="286" spans="1:36" s="16" customFormat="1" ht="12.95" customHeight="1">
      <c r="B286" s="87"/>
      <c r="C286" s="25"/>
      <c r="D286" s="132"/>
      <c r="E286" s="25"/>
      <c r="F286" s="61"/>
      <c r="G286" s="14"/>
      <c r="H286" s="61"/>
      <c r="I286" s="61"/>
      <c r="J286" s="25"/>
      <c r="K286" s="25"/>
      <c r="L286" s="25"/>
      <c r="M286" s="25"/>
      <c r="O286" s="25"/>
      <c r="P286" s="132"/>
      <c r="Q286" s="132"/>
      <c r="R286" s="132"/>
      <c r="S286" s="25"/>
      <c r="T286" s="25"/>
      <c r="U286" s="25"/>
      <c r="V286" s="90"/>
      <c r="W286" s="25"/>
      <c r="X286" s="25"/>
      <c r="Y286" s="25"/>
      <c r="Z286" s="25"/>
      <c r="AA286" s="25"/>
    </row>
    <row r="287" spans="1:36" s="16" customFormat="1" ht="12.95" customHeight="1">
      <c r="A287" s="6" t="s">
        <v>434</v>
      </c>
      <c r="B287" s="92"/>
      <c r="C287" s="92"/>
      <c r="D287" s="92"/>
      <c r="E287" s="93"/>
      <c r="F287" s="93"/>
      <c r="G287" s="93"/>
      <c r="H287" s="93"/>
      <c r="I287" s="93"/>
      <c r="J287" s="93"/>
    </row>
    <row r="288" spans="1:36" s="16" customFormat="1" ht="15" customHeight="1">
      <c r="B288" s="90" t="s">
        <v>424</v>
      </c>
      <c r="M288" s="25" t="s">
        <v>248</v>
      </c>
      <c r="N288" s="95" t="s">
        <v>249</v>
      </c>
      <c r="O288" s="25"/>
      <c r="P288" s="25"/>
      <c r="Q288" s="25"/>
    </row>
    <row r="289" spans="2:32" s="16" customFormat="1" ht="15" customHeight="1">
      <c r="B289" s="90" t="s">
        <v>425</v>
      </c>
      <c r="M289" s="25" t="s">
        <v>248</v>
      </c>
      <c r="N289" s="95" t="s">
        <v>250</v>
      </c>
      <c r="O289" s="25"/>
      <c r="P289" s="25"/>
      <c r="Q289" s="25"/>
    </row>
    <row r="290" spans="2:32" s="16" customFormat="1" ht="15" customHeight="1">
      <c r="B290" s="90" t="s">
        <v>426</v>
      </c>
      <c r="M290" s="25" t="s">
        <v>248</v>
      </c>
      <c r="N290" s="95" t="s">
        <v>13</v>
      </c>
      <c r="O290" s="25"/>
      <c r="P290" s="25"/>
      <c r="Q290" s="25"/>
    </row>
    <row r="291" spans="2:32" s="16" customFormat="1" ht="15" customHeight="1">
      <c r="B291" s="90" t="s">
        <v>427</v>
      </c>
      <c r="M291" s="25" t="s">
        <v>248</v>
      </c>
      <c r="N291" s="95" t="s">
        <v>31</v>
      </c>
      <c r="O291" s="25"/>
      <c r="P291" s="25"/>
      <c r="Q291" s="25"/>
      <c r="AD291" s="381"/>
      <c r="AE291" s="381"/>
    </row>
    <row r="292" spans="2:32" s="16" customFormat="1" ht="15" customHeight="1">
      <c r="B292" s="90" t="s">
        <v>428</v>
      </c>
      <c r="M292" s="25" t="s">
        <v>248</v>
      </c>
      <c r="N292" s="639">
        <f>AC88</f>
        <v>2</v>
      </c>
      <c r="O292" s="465"/>
      <c r="P292" s="465"/>
      <c r="Q292" s="465"/>
      <c r="AD292" s="381"/>
      <c r="AE292" s="381"/>
    </row>
    <row r="293" spans="2:32" s="16" customFormat="1" ht="15" customHeight="1">
      <c r="B293" s="90" t="s">
        <v>429</v>
      </c>
      <c r="M293" s="25" t="s">
        <v>248</v>
      </c>
      <c r="N293" s="638">
        <f>R121</f>
        <v>6.2699999999999992E-2</v>
      </c>
      <c r="O293" s="465"/>
      <c r="P293" s="465"/>
      <c r="Q293" s="465"/>
      <c r="R293" s="16" t="s">
        <v>12</v>
      </c>
      <c r="AD293" s="381"/>
      <c r="AE293" s="381"/>
    </row>
    <row r="294" spans="2:32" s="16" customFormat="1" ht="15" customHeight="1">
      <c r="B294" s="90" t="s">
        <v>521</v>
      </c>
      <c r="M294" s="25" t="s">
        <v>248</v>
      </c>
      <c r="N294" s="638">
        <f>R122</f>
        <v>8.7999999999999995E-2</v>
      </c>
      <c r="O294" s="465"/>
      <c r="P294" s="465"/>
      <c r="Q294" s="465"/>
      <c r="R294" s="16" t="s">
        <v>12</v>
      </c>
      <c r="AD294" s="381"/>
      <c r="AE294" s="381"/>
    </row>
    <row r="295" spans="2:32" s="16" customFormat="1" ht="15" customHeight="1">
      <c r="B295" s="90" t="s">
        <v>430</v>
      </c>
      <c r="M295" s="25" t="s">
        <v>248</v>
      </c>
      <c r="N295" s="638">
        <f>R125</f>
        <v>0.154</v>
      </c>
      <c r="O295" s="465"/>
      <c r="P295" s="465"/>
      <c r="Q295" s="465"/>
      <c r="R295" s="16" t="s">
        <v>12</v>
      </c>
      <c r="AD295" s="436"/>
      <c r="AE295" s="436"/>
    </row>
    <row r="296" spans="2:32" s="16" customFormat="1" ht="15" customHeight="1">
      <c r="B296" s="90" t="s">
        <v>522</v>
      </c>
      <c r="M296" s="25" t="s">
        <v>248</v>
      </c>
      <c r="N296" s="638">
        <f>R126</f>
        <v>0.216</v>
      </c>
      <c r="O296" s="465"/>
      <c r="P296" s="465"/>
      <c r="Q296" s="465"/>
      <c r="R296" s="16" t="s">
        <v>12</v>
      </c>
    </row>
    <row r="297" spans="2:32" s="16" customFormat="1" ht="15" customHeight="1">
      <c r="B297" s="90" t="s">
        <v>523</v>
      </c>
      <c r="M297" s="25" t="s">
        <v>248</v>
      </c>
      <c r="N297" s="463">
        <f>R184</f>
        <v>0.20499999999999999</v>
      </c>
      <c r="O297" s="465"/>
      <c r="P297" s="465"/>
      <c r="Q297" s="465"/>
      <c r="R297" s="16" t="s">
        <v>109</v>
      </c>
    </row>
    <row r="298" spans="2:32" s="16" customFormat="1" ht="15" customHeight="1">
      <c r="B298" s="90" t="s">
        <v>524</v>
      </c>
      <c r="M298" s="25" t="s">
        <v>248</v>
      </c>
      <c r="N298" s="463">
        <f>R185</f>
        <v>0.25600000000000001</v>
      </c>
      <c r="O298" s="465"/>
      <c r="P298" s="465"/>
      <c r="Q298" s="465"/>
      <c r="R298" s="16" t="s">
        <v>109</v>
      </c>
    </row>
    <row r="299" spans="2:32" s="16" customFormat="1" ht="15" customHeight="1">
      <c r="B299" s="90" t="s">
        <v>525</v>
      </c>
      <c r="M299" s="25" t="s">
        <v>248</v>
      </c>
      <c r="N299" s="465">
        <f>MAX(V236:Y238)</f>
        <v>9.6699999999999994E-2</v>
      </c>
      <c r="O299" s="465"/>
      <c r="P299" s="465"/>
      <c r="Q299" s="465"/>
      <c r="R299" s="16" t="s">
        <v>48</v>
      </c>
      <c r="AD299" s="434"/>
      <c r="AE299" s="381"/>
      <c r="AF299" s="96"/>
    </row>
    <row r="300" spans="2:32" s="16" customFormat="1" ht="15" customHeight="1">
      <c r="B300" s="90" t="s">
        <v>526</v>
      </c>
      <c r="M300" s="25" t="s">
        <v>248</v>
      </c>
      <c r="N300" s="465">
        <v>27.5</v>
      </c>
      <c r="O300" s="465"/>
      <c r="P300" s="465"/>
      <c r="Q300" s="465"/>
      <c r="R300" s="16" t="s">
        <v>327</v>
      </c>
      <c r="AD300" s="97"/>
      <c r="AE300" s="25"/>
      <c r="AF300" s="96"/>
    </row>
    <row r="301" spans="2:32" s="16" customFormat="1" ht="15" customHeight="1">
      <c r="B301" s="90" t="s">
        <v>527</v>
      </c>
      <c r="M301" s="25" t="s">
        <v>248</v>
      </c>
      <c r="N301" s="465">
        <v>3.1E-2</v>
      </c>
      <c r="O301" s="465"/>
      <c r="P301" s="465"/>
      <c r="Q301" s="465"/>
      <c r="R301" s="16" t="s">
        <v>8</v>
      </c>
      <c r="AD301" s="97"/>
      <c r="AE301" s="25"/>
      <c r="AF301" s="96"/>
    </row>
    <row r="302" spans="2:32" s="16" customFormat="1" ht="12.95" customHeight="1">
      <c r="M302" s="25"/>
      <c r="N302" s="27"/>
      <c r="O302" s="27"/>
      <c r="P302" s="27"/>
      <c r="Q302" s="27"/>
      <c r="AD302" s="97"/>
      <c r="AE302" s="25"/>
      <c r="AF302" s="96"/>
    </row>
    <row r="303" spans="2:32" s="16" customFormat="1" ht="12.95" customHeight="1">
      <c r="B303" s="90" t="s">
        <v>431</v>
      </c>
      <c r="M303" s="25"/>
      <c r="N303" s="27"/>
      <c r="O303" s="27"/>
      <c r="P303" s="27"/>
      <c r="Q303" s="27"/>
      <c r="AB303" s="16" t="str">
        <f>A1</f>
        <v>■ Sta.No.0 + 0.0 주철관 내진안전성평가</v>
      </c>
      <c r="AD303" s="97"/>
      <c r="AE303" s="25"/>
      <c r="AF303" s="96"/>
    </row>
    <row r="304" spans="2:32" s="16" customFormat="1" ht="18" customHeight="1">
      <c r="B304" s="440" t="s">
        <v>416</v>
      </c>
      <c r="C304" s="441"/>
      <c r="D304" s="441"/>
      <c r="E304" s="441"/>
      <c r="F304" s="441"/>
      <c r="G304" s="441"/>
      <c r="H304" s="441"/>
      <c r="I304" s="441"/>
      <c r="J304" s="441"/>
      <c r="K304" s="441"/>
      <c r="L304" s="441"/>
      <c r="M304" s="441" t="s">
        <v>11</v>
      </c>
      <c r="N304" s="441"/>
      <c r="O304" s="441"/>
      <c r="P304" s="441"/>
      <c r="Q304" s="441"/>
      <c r="R304" s="441"/>
      <c r="S304" s="441" t="s">
        <v>420</v>
      </c>
      <c r="T304" s="441"/>
      <c r="U304" s="441"/>
      <c r="V304" s="441"/>
      <c r="W304" s="441"/>
      <c r="X304" s="442"/>
      <c r="AB304" s="135" t="s">
        <v>554</v>
      </c>
      <c r="AC304" s="135" t="s">
        <v>555</v>
      </c>
      <c r="AD304" s="135" t="s">
        <v>558</v>
      </c>
      <c r="AE304" s="135" t="s">
        <v>559</v>
      </c>
    </row>
    <row r="305" spans="2:33" s="16" customFormat="1" ht="18" customHeight="1">
      <c r="B305" s="643" t="s">
        <v>417</v>
      </c>
      <c r="C305" s="640"/>
      <c r="D305" s="640"/>
      <c r="E305" s="640"/>
      <c r="F305" s="640"/>
      <c r="G305" s="640" t="s">
        <v>418</v>
      </c>
      <c r="H305" s="640"/>
      <c r="I305" s="640"/>
      <c r="J305" s="640"/>
      <c r="K305" s="640"/>
      <c r="L305" s="640"/>
      <c r="M305" s="644">
        <f>D139</f>
        <v>10.52</v>
      </c>
      <c r="N305" s="644"/>
      <c r="O305" s="644"/>
      <c r="P305" s="644"/>
      <c r="Q305" s="644"/>
      <c r="R305" s="644"/>
      <c r="S305" s="640" t="s">
        <v>7</v>
      </c>
      <c r="T305" s="640"/>
      <c r="U305" s="640"/>
      <c r="V305" s="640"/>
      <c r="W305" s="640"/>
      <c r="X305" s="641"/>
      <c r="AB305" s="138">
        <f>M305</f>
        <v>10.52</v>
      </c>
      <c r="AC305" s="138">
        <f>M306</f>
        <v>5.6128758593593124</v>
      </c>
      <c r="AD305" s="138">
        <f>M307</f>
        <v>3.1880000000000002</v>
      </c>
      <c r="AE305" s="138">
        <f>M308</f>
        <v>19.320875859359312</v>
      </c>
    </row>
    <row r="306" spans="2:33" s="16" customFormat="1" ht="18" customHeight="1">
      <c r="B306" s="443"/>
      <c r="C306" s="437"/>
      <c r="D306" s="437"/>
      <c r="E306" s="437"/>
      <c r="F306" s="437"/>
      <c r="G306" s="437" t="s">
        <v>419</v>
      </c>
      <c r="H306" s="437"/>
      <c r="I306" s="437"/>
      <c r="J306" s="437"/>
      <c r="K306" s="437"/>
      <c r="L306" s="437"/>
      <c r="M306" s="642">
        <f>U156</f>
        <v>5.6128758593593124</v>
      </c>
      <c r="N306" s="642"/>
      <c r="O306" s="642"/>
      <c r="P306" s="642"/>
      <c r="Q306" s="642"/>
      <c r="R306" s="642"/>
      <c r="S306" s="437" t="s">
        <v>7</v>
      </c>
      <c r="T306" s="437"/>
      <c r="U306" s="437"/>
      <c r="V306" s="437"/>
      <c r="W306" s="437"/>
      <c r="X306" s="438"/>
    </row>
    <row r="307" spans="2:33" s="16" customFormat="1" ht="18" customHeight="1">
      <c r="B307" s="443" t="s">
        <v>510</v>
      </c>
      <c r="C307" s="437"/>
      <c r="D307" s="437"/>
      <c r="E307" s="437"/>
      <c r="F307" s="437"/>
      <c r="G307" s="437" t="s">
        <v>13</v>
      </c>
      <c r="H307" s="437"/>
      <c r="I307" s="437"/>
      <c r="J307" s="437"/>
      <c r="K307" s="437"/>
      <c r="L307" s="437"/>
      <c r="M307" s="642">
        <f>J276</f>
        <v>3.1880000000000002</v>
      </c>
      <c r="N307" s="642"/>
      <c r="O307" s="642"/>
      <c r="P307" s="642"/>
      <c r="Q307" s="642"/>
      <c r="R307" s="642"/>
      <c r="S307" s="437" t="s">
        <v>7</v>
      </c>
      <c r="T307" s="437"/>
      <c r="U307" s="437"/>
      <c r="V307" s="437"/>
      <c r="W307" s="437"/>
      <c r="X307" s="438"/>
    </row>
    <row r="308" spans="2:33" s="16" customFormat="1" ht="18" customHeight="1">
      <c r="B308" s="450" t="s">
        <v>511</v>
      </c>
      <c r="C308" s="451"/>
      <c r="D308" s="451"/>
      <c r="E308" s="451"/>
      <c r="F308" s="451"/>
      <c r="G308" s="451"/>
      <c r="H308" s="451"/>
      <c r="I308" s="451"/>
      <c r="J308" s="451"/>
      <c r="K308" s="451"/>
      <c r="L308" s="452"/>
      <c r="M308" s="645">
        <f>M305+M306+M307</f>
        <v>19.320875859359312</v>
      </c>
      <c r="N308" s="645"/>
      <c r="O308" s="645"/>
      <c r="P308" s="645"/>
      <c r="Q308" s="645"/>
      <c r="R308" s="645"/>
      <c r="S308" s="454" t="str">
        <f t="shared" ref="S308" si="4">IF(M308&lt;=$M$309,"O.K","N.G")</f>
        <v>O.K</v>
      </c>
      <c r="T308" s="454"/>
      <c r="U308" s="454"/>
      <c r="V308" s="454"/>
      <c r="W308" s="454"/>
      <c r="X308" s="455"/>
    </row>
    <row r="309" spans="2:33" s="16" customFormat="1" ht="18" customHeight="1">
      <c r="B309" s="444" t="s">
        <v>512</v>
      </c>
      <c r="C309" s="445"/>
      <c r="D309" s="445"/>
      <c r="E309" s="445"/>
      <c r="F309" s="445"/>
      <c r="G309" s="445"/>
      <c r="H309" s="445"/>
      <c r="I309" s="445"/>
      <c r="J309" s="445"/>
      <c r="K309" s="445"/>
      <c r="L309" s="446"/>
      <c r="M309" s="646">
        <f>N300</f>
        <v>27.5</v>
      </c>
      <c r="N309" s="646"/>
      <c r="O309" s="646"/>
      <c r="P309" s="646"/>
      <c r="Q309" s="646"/>
      <c r="R309" s="646"/>
      <c r="S309" s="448" t="s">
        <v>513</v>
      </c>
      <c r="T309" s="448"/>
      <c r="U309" s="448"/>
      <c r="V309" s="448"/>
      <c r="W309" s="448"/>
      <c r="X309" s="449"/>
    </row>
    <row r="310" spans="2:33" s="16" customFormat="1" ht="12.95" customHeight="1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</row>
    <row r="311" spans="2:33" s="16" customFormat="1" ht="12.95" customHeight="1">
      <c r="B311" s="90" t="s">
        <v>432</v>
      </c>
      <c r="M311" s="25"/>
      <c r="N311" s="27"/>
      <c r="O311" s="27"/>
      <c r="P311" s="27"/>
      <c r="Q311" s="27"/>
      <c r="AD311" s="97"/>
      <c r="AE311" s="25"/>
      <c r="AF311" s="96"/>
    </row>
    <row r="312" spans="2:33" s="16" customFormat="1" ht="18" customHeight="1">
      <c r="B312" s="440" t="s">
        <v>416</v>
      </c>
      <c r="C312" s="441"/>
      <c r="D312" s="441"/>
      <c r="E312" s="441"/>
      <c r="F312" s="441"/>
      <c r="G312" s="441"/>
      <c r="H312" s="441"/>
      <c r="I312" s="441"/>
      <c r="J312" s="441"/>
      <c r="K312" s="441"/>
      <c r="L312" s="441"/>
      <c r="M312" s="441" t="s">
        <v>423</v>
      </c>
      <c r="N312" s="441"/>
      <c r="O312" s="441"/>
      <c r="P312" s="441"/>
      <c r="Q312" s="441"/>
      <c r="R312" s="441"/>
      <c r="S312" s="441" t="s">
        <v>420</v>
      </c>
      <c r="T312" s="441"/>
      <c r="U312" s="441"/>
      <c r="V312" s="441"/>
      <c r="W312" s="441"/>
      <c r="X312" s="442"/>
      <c r="AB312" s="135" t="s">
        <v>554</v>
      </c>
      <c r="AC312" s="135" t="s">
        <v>555</v>
      </c>
      <c r="AD312" s="135" t="s">
        <v>556</v>
      </c>
      <c r="AE312" s="135" t="s">
        <v>557</v>
      </c>
      <c r="AF312" s="135" t="s">
        <v>558</v>
      </c>
      <c r="AG312" s="135" t="s">
        <v>559</v>
      </c>
    </row>
    <row r="313" spans="2:33" s="16" customFormat="1" ht="18" customHeight="1">
      <c r="B313" s="443" t="s">
        <v>417</v>
      </c>
      <c r="C313" s="437"/>
      <c r="D313" s="437"/>
      <c r="E313" s="437"/>
      <c r="F313" s="437"/>
      <c r="G313" s="437" t="s">
        <v>418</v>
      </c>
      <c r="H313" s="437"/>
      <c r="I313" s="437"/>
      <c r="J313" s="437"/>
      <c r="K313" s="437"/>
      <c r="L313" s="437"/>
      <c r="M313" s="647">
        <f>D143</f>
        <v>3.9449617499999994E-4</v>
      </c>
      <c r="N313" s="647"/>
      <c r="O313" s="647"/>
      <c r="P313" s="647"/>
      <c r="Q313" s="647"/>
      <c r="R313" s="647"/>
      <c r="S313" s="437" t="s">
        <v>7</v>
      </c>
      <c r="T313" s="437"/>
      <c r="U313" s="437"/>
      <c r="V313" s="437"/>
      <c r="W313" s="437"/>
      <c r="X313" s="438"/>
      <c r="AB313" s="137">
        <f>M313</f>
        <v>3.9449617499999994E-4</v>
      </c>
      <c r="AC313" s="137">
        <f>M314</f>
        <v>2.1048284472597421E-4</v>
      </c>
      <c r="AD313" s="137">
        <f>M315</f>
        <v>1.2000000000000001E-3</v>
      </c>
      <c r="AE313" s="137">
        <f>M316</f>
        <v>6.6665925942288595E-4</v>
      </c>
      <c r="AF313" s="137">
        <f>M317</f>
        <v>8.0000000000000004E-4</v>
      </c>
      <c r="AG313" s="137">
        <f>M318</f>
        <v>3.2716382791488602E-3</v>
      </c>
    </row>
    <row r="314" spans="2:33" s="16" customFormat="1" ht="18" customHeight="1">
      <c r="B314" s="443"/>
      <c r="C314" s="437"/>
      <c r="D314" s="437"/>
      <c r="E314" s="437"/>
      <c r="F314" s="437"/>
      <c r="G314" s="437" t="s">
        <v>419</v>
      </c>
      <c r="H314" s="437"/>
      <c r="I314" s="437"/>
      <c r="J314" s="437"/>
      <c r="K314" s="437"/>
      <c r="L314" s="437"/>
      <c r="M314" s="647">
        <f>D161</f>
        <v>2.1048284472597421E-4</v>
      </c>
      <c r="N314" s="647"/>
      <c r="O314" s="647"/>
      <c r="P314" s="647"/>
      <c r="Q314" s="647"/>
      <c r="R314" s="647"/>
      <c r="S314" s="437" t="s">
        <v>7</v>
      </c>
      <c r="T314" s="437"/>
      <c r="U314" s="437"/>
      <c r="V314" s="437"/>
      <c r="W314" s="437"/>
      <c r="X314" s="438"/>
    </row>
    <row r="315" spans="2:33" s="16" customFormat="1" ht="18" customHeight="1">
      <c r="B315" s="443"/>
      <c r="C315" s="437"/>
      <c r="D315" s="437"/>
      <c r="E315" s="437"/>
      <c r="F315" s="437"/>
      <c r="G315" s="437" t="s">
        <v>421</v>
      </c>
      <c r="H315" s="437"/>
      <c r="I315" s="437"/>
      <c r="J315" s="437"/>
      <c r="K315" s="437"/>
      <c r="L315" s="437"/>
      <c r="M315" s="647">
        <f>D168</f>
        <v>1.2000000000000001E-3</v>
      </c>
      <c r="N315" s="647"/>
      <c r="O315" s="647"/>
      <c r="P315" s="647"/>
      <c r="Q315" s="647"/>
      <c r="R315" s="647"/>
      <c r="S315" s="437" t="s">
        <v>7</v>
      </c>
      <c r="T315" s="437"/>
      <c r="U315" s="437"/>
      <c r="V315" s="437"/>
      <c r="W315" s="437"/>
      <c r="X315" s="438"/>
    </row>
    <row r="316" spans="2:33" s="16" customFormat="1" ht="18" customHeight="1">
      <c r="B316" s="443"/>
      <c r="C316" s="437"/>
      <c r="D316" s="437"/>
      <c r="E316" s="437"/>
      <c r="F316" s="437"/>
      <c r="G316" s="437" t="s">
        <v>422</v>
      </c>
      <c r="H316" s="437"/>
      <c r="I316" s="437"/>
      <c r="J316" s="437"/>
      <c r="K316" s="437"/>
      <c r="L316" s="437"/>
      <c r="M316" s="647">
        <f>D175</f>
        <v>6.6665925942288595E-4</v>
      </c>
      <c r="N316" s="647"/>
      <c r="O316" s="647"/>
      <c r="P316" s="647"/>
      <c r="Q316" s="647"/>
      <c r="R316" s="647"/>
      <c r="S316" s="437" t="s">
        <v>7</v>
      </c>
      <c r="T316" s="437"/>
      <c r="U316" s="437"/>
      <c r="V316" s="437"/>
      <c r="W316" s="437"/>
      <c r="X316" s="438"/>
    </row>
    <row r="317" spans="2:33" s="16" customFormat="1" ht="18" customHeight="1">
      <c r="B317" s="443" t="s">
        <v>510</v>
      </c>
      <c r="C317" s="437"/>
      <c r="D317" s="437"/>
      <c r="E317" s="437"/>
      <c r="F317" s="437"/>
      <c r="G317" s="437" t="s">
        <v>13</v>
      </c>
      <c r="H317" s="437"/>
      <c r="I317" s="437"/>
      <c r="J317" s="437"/>
      <c r="K317" s="437"/>
      <c r="L317" s="437"/>
      <c r="M317" s="647">
        <f>J285</f>
        <v>8.0000000000000004E-4</v>
      </c>
      <c r="N317" s="647"/>
      <c r="O317" s="647"/>
      <c r="P317" s="647"/>
      <c r="Q317" s="647"/>
      <c r="R317" s="647"/>
      <c r="S317" s="437" t="s">
        <v>7</v>
      </c>
      <c r="T317" s="437"/>
      <c r="U317" s="437"/>
      <c r="V317" s="437"/>
      <c r="W317" s="437"/>
      <c r="X317" s="438"/>
    </row>
    <row r="318" spans="2:33" s="16" customFormat="1" ht="18" customHeight="1">
      <c r="B318" s="450" t="s">
        <v>514</v>
      </c>
      <c r="C318" s="451"/>
      <c r="D318" s="451"/>
      <c r="E318" s="451"/>
      <c r="F318" s="451"/>
      <c r="G318" s="451"/>
      <c r="H318" s="451"/>
      <c r="I318" s="451"/>
      <c r="J318" s="451"/>
      <c r="K318" s="451"/>
      <c r="L318" s="452"/>
      <c r="M318" s="648">
        <f>M313+M314+M315+M316+M317</f>
        <v>3.2716382791488602E-3</v>
      </c>
      <c r="N318" s="648"/>
      <c r="O318" s="648"/>
      <c r="P318" s="648"/>
      <c r="Q318" s="648"/>
      <c r="R318" s="648"/>
      <c r="S318" s="454" t="str">
        <f t="shared" ref="S318" si="5">IF(M318&lt;=$M$319,"O.K","N.G")</f>
        <v>O.K</v>
      </c>
      <c r="T318" s="454"/>
      <c r="U318" s="454"/>
      <c r="V318" s="454"/>
      <c r="W318" s="454"/>
      <c r="X318" s="455"/>
    </row>
    <row r="319" spans="2:33" s="16" customFormat="1" ht="18" customHeight="1">
      <c r="B319" s="444" t="s">
        <v>515</v>
      </c>
      <c r="C319" s="445"/>
      <c r="D319" s="445"/>
      <c r="E319" s="445"/>
      <c r="F319" s="445"/>
      <c r="G319" s="445"/>
      <c r="H319" s="445"/>
      <c r="I319" s="445"/>
      <c r="J319" s="445"/>
      <c r="K319" s="445"/>
      <c r="L319" s="446"/>
      <c r="M319" s="649">
        <f>N301</f>
        <v>3.1E-2</v>
      </c>
      <c r="N319" s="649"/>
      <c r="O319" s="649"/>
      <c r="P319" s="649"/>
      <c r="Q319" s="649"/>
      <c r="R319" s="649"/>
      <c r="S319" s="448" t="s">
        <v>513</v>
      </c>
      <c r="T319" s="448"/>
      <c r="U319" s="448"/>
      <c r="V319" s="448"/>
      <c r="W319" s="448"/>
      <c r="X319" s="449"/>
    </row>
    <row r="320" spans="2:33" s="16" customFormat="1" ht="12.95" customHeight="1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</row>
    <row r="321" spans="1:77" s="16" customFormat="1" ht="12.95" customHeight="1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</row>
    <row r="322" spans="1:77" s="5" customFormat="1">
      <c r="A322" s="2" t="s">
        <v>435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"/>
      <c r="AB322" s="6"/>
      <c r="AC322" s="30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</row>
    <row r="323" spans="1:7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7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7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7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7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7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7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7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7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7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7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7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7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7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</sheetData>
  <mergeCells count="554">
    <mergeCell ref="D254:E254"/>
    <mergeCell ref="AB77:AD77"/>
    <mergeCell ref="N298:Q298"/>
    <mergeCell ref="B81:E81"/>
    <mergeCell ref="F81:I81"/>
    <mergeCell ref="J81:M81"/>
    <mergeCell ref="N81:Q81"/>
    <mergeCell ref="R81:U81"/>
    <mergeCell ref="V81:Y81"/>
    <mergeCell ref="B79:E79"/>
    <mergeCell ref="F79:I79"/>
    <mergeCell ref="J79:M79"/>
    <mergeCell ref="N79:Q79"/>
    <mergeCell ref="R79:U79"/>
    <mergeCell ref="V79:Y79"/>
    <mergeCell ref="B80:E80"/>
    <mergeCell ref="F80:I80"/>
    <mergeCell ref="J80:M80"/>
    <mergeCell ref="N80:Q80"/>
    <mergeCell ref="R80:U80"/>
    <mergeCell ref="V80:Y80"/>
    <mergeCell ref="J285:L285"/>
    <mergeCell ref="D273:F273"/>
    <mergeCell ref="G273:H273"/>
    <mergeCell ref="J273:L273"/>
    <mergeCell ref="M273:N273"/>
    <mergeCell ref="P75:R75"/>
    <mergeCell ref="B76:E77"/>
    <mergeCell ref="F76:I77"/>
    <mergeCell ref="J76:M77"/>
    <mergeCell ref="N76:Q77"/>
    <mergeCell ref="R76:U77"/>
    <mergeCell ref="V76:Y77"/>
    <mergeCell ref="B78:E78"/>
    <mergeCell ref="F78:I78"/>
    <mergeCell ref="J78:M78"/>
    <mergeCell ref="N78:Q78"/>
    <mergeCell ref="R78:U78"/>
    <mergeCell ref="V78:Y78"/>
    <mergeCell ref="D271:F271"/>
    <mergeCell ref="J271:L271"/>
    <mergeCell ref="Q271:S271"/>
    <mergeCell ref="D272:F272"/>
    <mergeCell ref="G272:H272"/>
    <mergeCell ref="J272:L272"/>
    <mergeCell ref="M272:N272"/>
    <mergeCell ref="D267:G267"/>
    <mergeCell ref="D268:G268"/>
    <mergeCell ref="M318:R318"/>
    <mergeCell ref="S318:X318"/>
    <mergeCell ref="B317:F317"/>
    <mergeCell ref="G317:L317"/>
    <mergeCell ref="M317:R317"/>
    <mergeCell ref="S317:X317"/>
    <mergeCell ref="M319:R319"/>
    <mergeCell ref="S319:X319"/>
    <mergeCell ref="B318:L318"/>
    <mergeCell ref="B319:L319"/>
    <mergeCell ref="S315:X315"/>
    <mergeCell ref="G316:L316"/>
    <mergeCell ref="M316:R316"/>
    <mergeCell ref="S316:X316"/>
    <mergeCell ref="B312:L312"/>
    <mergeCell ref="M312:R312"/>
    <mergeCell ref="S312:X312"/>
    <mergeCell ref="B313:F316"/>
    <mergeCell ref="G313:L313"/>
    <mergeCell ref="M313:R313"/>
    <mergeCell ref="S313:X313"/>
    <mergeCell ref="G314:L314"/>
    <mergeCell ref="M314:R314"/>
    <mergeCell ref="S314:X314"/>
    <mergeCell ref="G315:L315"/>
    <mergeCell ref="M315:R315"/>
    <mergeCell ref="M308:R308"/>
    <mergeCell ref="S308:X308"/>
    <mergeCell ref="B307:F307"/>
    <mergeCell ref="G307:L307"/>
    <mergeCell ref="M307:R307"/>
    <mergeCell ref="S307:X307"/>
    <mergeCell ref="M309:R309"/>
    <mergeCell ref="S309:X309"/>
    <mergeCell ref="B309:L309"/>
    <mergeCell ref="B308:L308"/>
    <mergeCell ref="S305:X305"/>
    <mergeCell ref="G306:L306"/>
    <mergeCell ref="M306:R306"/>
    <mergeCell ref="S306:X306"/>
    <mergeCell ref="N299:Q299"/>
    <mergeCell ref="AD299:AE299"/>
    <mergeCell ref="N300:Q300"/>
    <mergeCell ref="N301:Q301"/>
    <mergeCell ref="B304:L304"/>
    <mergeCell ref="M304:R304"/>
    <mergeCell ref="S304:X304"/>
    <mergeCell ref="B305:F306"/>
    <mergeCell ref="G305:L305"/>
    <mergeCell ref="M305:R305"/>
    <mergeCell ref="AD295:AE295"/>
    <mergeCell ref="N296:Q296"/>
    <mergeCell ref="N297:Q297"/>
    <mergeCell ref="N292:Q292"/>
    <mergeCell ref="AD292:AE292"/>
    <mergeCell ref="N293:Q293"/>
    <mergeCell ref="AD293:AE293"/>
    <mergeCell ref="N294:Q294"/>
    <mergeCell ref="AD294:AE294"/>
    <mergeCell ref="N295:Q295"/>
    <mergeCell ref="AD291:AE291"/>
    <mergeCell ref="J276:L276"/>
    <mergeCell ref="M279:N279"/>
    <mergeCell ref="P279:R279"/>
    <mergeCell ref="D280:E280"/>
    <mergeCell ref="P280:R280"/>
    <mergeCell ref="P281:R281"/>
    <mergeCell ref="R274:T274"/>
    <mergeCell ref="D275:E275"/>
    <mergeCell ref="G275:H275"/>
    <mergeCell ref="J275:L275"/>
    <mergeCell ref="N275:P275"/>
    <mergeCell ref="R275:T275"/>
    <mergeCell ref="D282:F282"/>
    <mergeCell ref="D283:E283"/>
    <mergeCell ref="J283:L283"/>
    <mergeCell ref="J284:L284"/>
    <mergeCell ref="D274:E274"/>
    <mergeCell ref="G274:H274"/>
    <mergeCell ref="J274:L274"/>
    <mergeCell ref="N274:P274"/>
    <mergeCell ref="D284:E284"/>
    <mergeCell ref="K268:N268"/>
    <mergeCell ref="D270:F270"/>
    <mergeCell ref="J270:L270"/>
    <mergeCell ref="Q270:S270"/>
    <mergeCell ref="D269:F269"/>
    <mergeCell ref="D261:F261"/>
    <mergeCell ref="D262:F262"/>
    <mergeCell ref="M265:P265"/>
    <mergeCell ref="I266:J266"/>
    <mergeCell ref="P266:R266"/>
    <mergeCell ref="T266:V266"/>
    <mergeCell ref="D259:F259"/>
    <mergeCell ref="D260:E260"/>
    <mergeCell ref="M260:N260"/>
    <mergeCell ref="P260:Q260"/>
    <mergeCell ref="S260:T260"/>
    <mergeCell ref="V260:W260"/>
    <mergeCell ref="D257:E257"/>
    <mergeCell ref="M257:N257"/>
    <mergeCell ref="P257:Q257"/>
    <mergeCell ref="S257:T257"/>
    <mergeCell ref="V257:W257"/>
    <mergeCell ref="D258:F258"/>
    <mergeCell ref="F251:G251"/>
    <mergeCell ref="I251:J251"/>
    <mergeCell ref="L251:N251"/>
    <mergeCell ref="P251:S251"/>
    <mergeCell ref="R253:U253"/>
    <mergeCell ref="I254:K254"/>
    <mergeCell ref="M254:P254"/>
    <mergeCell ref="R254:U254"/>
    <mergeCell ref="O246:P246"/>
    <mergeCell ref="S246:T246"/>
    <mergeCell ref="X246:Y246"/>
    <mergeCell ref="D247:G247"/>
    <mergeCell ref="F250:G250"/>
    <mergeCell ref="I250:J250"/>
    <mergeCell ref="L250:N250"/>
    <mergeCell ref="P250:S250"/>
    <mergeCell ref="D246:E246"/>
    <mergeCell ref="I246:J246"/>
    <mergeCell ref="L246:M246"/>
    <mergeCell ref="B237:F237"/>
    <mergeCell ref="G237:Q237"/>
    <mergeCell ref="R237:U237"/>
    <mergeCell ref="V237:Y237"/>
    <mergeCell ref="B238:F238"/>
    <mergeCell ref="G238:Q238"/>
    <mergeCell ref="R238:U238"/>
    <mergeCell ref="V238:Y238"/>
    <mergeCell ref="R232:S232"/>
    <mergeCell ref="B234:Q235"/>
    <mergeCell ref="R234:Y234"/>
    <mergeCell ref="R235:U235"/>
    <mergeCell ref="V235:Y235"/>
    <mergeCell ref="B236:F236"/>
    <mergeCell ref="G236:Q236"/>
    <mergeCell ref="R236:U236"/>
    <mergeCell ref="V236:Y236"/>
    <mergeCell ref="B207:E207"/>
    <mergeCell ref="F207:I207"/>
    <mergeCell ref="J207:R207"/>
    <mergeCell ref="S207:Y207"/>
    <mergeCell ref="R230:S230"/>
    <mergeCell ref="R231:S231"/>
    <mergeCell ref="X203:Y203"/>
    <mergeCell ref="F204:I204"/>
    <mergeCell ref="N204:O204"/>
    <mergeCell ref="U204:V204"/>
    <mergeCell ref="J205:R205"/>
    <mergeCell ref="B206:E206"/>
    <mergeCell ref="F206:I206"/>
    <mergeCell ref="J206:R206"/>
    <mergeCell ref="S206:Y206"/>
    <mergeCell ref="N203:O203"/>
    <mergeCell ref="P203:P204"/>
    <mergeCell ref="Q203:R203"/>
    <mergeCell ref="T203:T204"/>
    <mergeCell ref="U203:V203"/>
    <mergeCell ref="W203:W204"/>
    <mergeCell ref="G198:H198"/>
    <mergeCell ref="B201:E201"/>
    <mergeCell ref="F201:I201"/>
    <mergeCell ref="J201:R201"/>
    <mergeCell ref="S201:Y201"/>
    <mergeCell ref="B202:E205"/>
    <mergeCell ref="J202:L202"/>
    <mergeCell ref="F203:I203"/>
    <mergeCell ref="J203:L204"/>
    <mergeCell ref="M203:M204"/>
    <mergeCell ref="B193:E193"/>
    <mergeCell ref="F193:J193"/>
    <mergeCell ref="K193:O193"/>
    <mergeCell ref="P193:T193"/>
    <mergeCell ref="U193:Y193"/>
    <mergeCell ref="G197:H197"/>
    <mergeCell ref="B191:E192"/>
    <mergeCell ref="F191:J192"/>
    <mergeCell ref="K191:Y191"/>
    <mergeCell ref="K192:O192"/>
    <mergeCell ref="P192:T192"/>
    <mergeCell ref="U192:Y192"/>
    <mergeCell ref="B187:F187"/>
    <mergeCell ref="G187:K187"/>
    <mergeCell ref="L187:P187"/>
    <mergeCell ref="Q187:U187"/>
    <mergeCell ref="V187:Y187"/>
    <mergeCell ref="B188:F188"/>
    <mergeCell ref="G188:K188"/>
    <mergeCell ref="L188:P188"/>
    <mergeCell ref="Q188:U188"/>
    <mergeCell ref="V188:Y188"/>
    <mergeCell ref="M174:O174"/>
    <mergeCell ref="Q174:S174"/>
    <mergeCell ref="D175:F175"/>
    <mergeCell ref="R183:S183"/>
    <mergeCell ref="R184:S184"/>
    <mergeCell ref="R185:S185"/>
    <mergeCell ref="M167:O167"/>
    <mergeCell ref="Q167:R167"/>
    <mergeCell ref="T167:U167"/>
    <mergeCell ref="D168:F168"/>
    <mergeCell ref="H171:J171"/>
    <mergeCell ref="H172:J172"/>
    <mergeCell ref="D161:F161"/>
    <mergeCell ref="H165:J165"/>
    <mergeCell ref="D167:E167"/>
    <mergeCell ref="G167:H167"/>
    <mergeCell ref="J167:K167"/>
    <mergeCell ref="D157:H157"/>
    <mergeCell ref="D160:E160"/>
    <mergeCell ref="G160:H160"/>
    <mergeCell ref="H164:J164"/>
    <mergeCell ref="L160:M160"/>
    <mergeCell ref="O160:Q160"/>
    <mergeCell ref="S160:V160"/>
    <mergeCell ref="N156:N157"/>
    <mergeCell ref="O156:Q157"/>
    <mergeCell ref="R156:S157"/>
    <mergeCell ref="T156:T157"/>
    <mergeCell ref="U156:W157"/>
    <mergeCell ref="X156:Y157"/>
    <mergeCell ref="H149:J149"/>
    <mergeCell ref="U149:W149"/>
    <mergeCell ref="M152:N152"/>
    <mergeCell ref="D153:F153"/>
    <mergeCell ref="B156:B157"/>
    <mergeCell ref="C156:C157"/>
    <mergeCell ref="D156:E156"/>
    <mergeCell ref="G156:H156"/>
    <mergeCell ref="I156:I157"/>
    <mergeCell ref="J156:J157"/>
    <mergeCell ref="D143:F143"/>
    <mergeCell ref="H146:J146"/>
    <mergeCell ref="U146:W146"/>
    <mergeCell ref="H147:J147"/>
    <mergeCell ref="U147:W147"/>
    <mergeCell ref="H148:J148"/>
    <mergeCell ref="U148:W148"/>
    <mergeCell ref="D139:F139"/>
    <mergeCell ref="D142:E142"/>
    <mergeCell ref="G142:H142"/>
    <mergeCell ref="L142:M142"/>
    <mergeCell ref="O142:Q142"/>
    <mergeCell ref="S142:V142"/>
    <mergeCell ref="S133:U133"/>
    <mergeCell ref="D138:E138"/>
    <mergeCell ref="G138:H138"/>
    <mergeCell ref="K138:L138"/>
    <mergeCell ref="N138:O138"/>
    <mergeCell ref="R138:S138"/>
    <mergeCell ref="U138:W138"/>
    <mergeCell ref="H130:J130"/>
    <mergeCell ref="H131:J131"/>
    <mergeCell ref="H132:J132"/>
    <mergeCell ref="H133:I133"/>
    <mergeCell ref="K133:L133"/>
    <mergeCell ref="N133:P133"/>
    <mergeCell ref="R121:S121"/>
    <mergeCell ref="L122:M122"/>
    <mergeCell ref="O122:P122"/>
    <mergeCell ref="R122:S122"/>
    <mergeCell ref="R125:S125"/>
    <mergeCell ref="L126:M126"/>
    <mergeCell ref="O126:P126"/>
    <mergeCell ref="R126:S126"/>
    <mergeCell ref="U116:W116"/>
    <mergeCell ref="X116:Y116"/>
    <mergeCell ref="B117:E117"/>
    <mergeCell ref="F117:H117"/>
    <mergeCell ref="I117:K117"/>
    <mergeCell ref="L117:N117"/>
    <mergeCell ref="O117:Q117"/>
    <mergeCell ref="R117:T117"/>
    <mergeCell ref="U117:W117"/>
    <mergeCell ref="X117:Y117"/>
    <mergeCell ref="B116:E116"/>
    <mergeCell ref="F116:H116"/>
    <mergeCell ref="I116:K116"/>
    <mergeCell ref="L116:N116"/>
    <mergeCell ref="O116:Q116"/>
    <mergeCell ref="R116:T116"/>
    <mergeCell ref="B114:E114"/>
    <mergeCell ref="F114:H114"/>
    <mergeCell ref="I114:K114"/>
    <mergeCell ref="L114:N114"/>
    <mergeCell ref="O114:Q114"/>
    <mergeCell ref="R114:T114"/>
    <mergeCell ref="U114:W114"/>
    <mergeCell ref="X114:Y114"/>
    <mergeCell ref="B115:E115"/>
    <mergeCell ref="F115:H115"/>
    <mergeCell ref="I115:K115"/>
    <mergeCell ref="L115:N115"/>
    <mergeCell ref="O115:Q115"/>
    <mergeCell ref="R115:T115"/>
    <mergeCell ref="U115:W115"/>
    <mergeCell ref="X115:Y115"/>
    <mergeCell ref="B112:E113"/>
    <mergeCell ref="F112:N112"/>
    <mergeCell ref="O112:W112"/>
    <mergeCell ref="X112:Y113"/>
    <mergeCell ref="F113:H113"/>
    <mergeCell ref="I113:K113"/>
    <mergeCell ref="L113:N113"/>
    <mergeCell ref="O113:Q113"/>
    <mergeCell ref="Q109:R110"/>
    <mergeCell ref="S109:S110"/>
    <mergeCell ref="T109:U110"/>
    <mergeCell ref="V109:V110"/>
    <mergeCell ref="W109:W110"/>
    <mergeCell ref="X109:Y110"/>
    <mergeCell ref="R113:T113"/>
    <mergeCell ref="U113:W113"/>
    <mergeCell ref="D109:D110"/>
    <mergeCell ref="E109:F110"/>
    <mergeCell ref="G109:G110"/>
    <mergeCell ref="I109:J109"/>
    <mergeCell ref="L109:M109"/>
    <mergeCell ref="O109:O110"/>
    <mergeCell ref="P109:P110"/>
    <mergeCell ref="P106:P107"/>
    <mergeCell ref="Q106:R107"/>
    <mergeCell ref="I110:J110"/>
    <mergeCell ref="L110:M110"/>
    <mergeCell ref="I101:J101"/>
    <mergeCell ref="Q104:R104"/>
    <mergeCell ref="T104:U104"/>
    <mergeCell ref="W104:X104"/>
    <mergeCell ref="D106:D107"/>
    <mergeCell ref="E106:F107"/>
    <mergeCell ref="G106:G107"/>
    <mergeCell ref="I106:J106"/>
    <mergeCell ref="L106:M106"/>
    <mergeCell ref="O106:O107"/>
    <mergeCell ref="X106:Y107"/>
    <mergeCell ref="I107:J107"/>
    <mergeCell ref="L107:M107"/>
    <mergeCell ref="S106:S107"/>
    <mergeCell ref="T106:U107"/>
    <mergeCell ref="V106:V107"/>
    <mergeCell ref="W106:W107"/>
    <mergeCell ref="B93:E93"/>
    <mergeCell ref="F93:Y93"/>
    <mergeCell ref="Q99:R99"/>
    <mergeCell ref="T99:U99"/>
    <mergeCell ref="W99:X99"/>
    <mergeCell ref="I100:J100"/>
    <mergeCell ref="B91:E91"/>
    <mergeCell ref="F91:L91"/>
    <mergeCell ref="M91:R92"/>
    <mergeCell ref="S91:Y91"/>
    <mergeCell ref="B92:E92"/>
    <mergeCell ref="F92:L92"/>
    <mergeCell ref="S92:Y92"/>
    <mergeCell ref="B89:E89"/>
    <mergeCell ref="F89:L89"/>
    <mergeCell ref="M89:R90"/>
    <mergeCell ref="S89:Y89"/>
    <mergeCell ref="B90:E90"/>
    <mergeCell ref="F90:L90"/>
    <mergeCell ref="S90:Y90"/>
    <mergeCell ref="B86:E87"/>
    <mergeCell ref="F86:L87"/>
    <mergeCell ref="M86:Y86"/>
    <mergeCell ref="M87:R87"/>
    <mergeCell ref="S87:Y87"/>
    <mergeCell ref="B88:E88"/>
    <mergeCell ref="F88:L88"/>
    <mergeCell ref="M88:R88"/>
    <mergeCell ref="S88:Y88"/>
    <mergeCell ref="B71:E71"/>
    <mergeCell ref="F71:I71"/>
    <mergeCell ref="J71:M71"/>
    <mergeCell ref="N71:Q71"/>
    <mergeCell ref="R71:U71"/>
    <mergeCell ref="V71:Y71"/>
    <mergeCell ref="B68:E68"/>
    <mergeCell ref="F68:I68"/>
    <mergeCell ref="J68:M68"/>
    <mergeCell ref="N68:Q68"/>
    <mergeCell ref="R68:U68"/>
    <mergeCell ref="V68:Y68"/>
    <mergeCell ref="B70:E70"/>
    <mergeCell ref="F70:I70"/>
    <mergeCell ref="J70:M70"/>
    <mergeCell ref="N70:Q70"/>
    <mergeCell ref="R70:U70"/>
    <mergeCell ref="V70:Y70"/>
    <mergeCell ref="B69:E69"/>
    <mergeCell ref="F69:I69"/>
    <mergeCell ref="J69:M69"/>
    <mergeCell ref="N69:Q69"/>
    <mergeCell ref="R69:U69"/>
    <mergeCell ref="V69:Y69"/>
    <mergeCell ref="K64:M64"/>
    <mergeCell ref="K65:M65"/>
    <mergeCell ref="B66:E67"/>
    <mergeCell ref="F66:I67"/>
    <mergeCell ref="J66:M67"/>
    <mergeCell ref="N66:Q67"/>
    <mergeCell ref="R66:U67"/>
    <mergeCell ref="V66:Y67"/>
    <mergeCell ref="AE54:AH54"/>
    <mergeCell ref="B55:E55"/>
    <mergeCell ref="B54:E54"/>
    <mergeCell ref="F54:H54"/>
    <mergeCell ref="F55:H55"/>
    <mergeCell ref="L54:N54"/>
    <mergeCell ref="L55:N55"/>
    <mergeCell ref="O54:R54"/>
    <mergeCell ref="O55:R55"/>
    <mergeCell ref="S54:T54"/>
    <mergeCell ref="S55:T55"/>
    <mergeCell ref="U54:X54"/>
    <mergeCell ref="U55:X55"/>
    <mergeCell ref="AB67:AD67"/>
    <mergeCell ref="AE52:AG52"/>
    <mergeCell ref="B53:E53"/>
    <mergeCell ref="B51:E51"/>
    <mergeCell ref="B52:E52"/>
    <mergeCell ref="F51:H51"/>
    <mergeCell ref="F52:H52"/>
    <mergeCell ref="F53:H53"/>
    <mergeCell ref="I51:K51"/>
    <mergeCell ref="L51:N51"/>
    <mergeCell ref="L52:N52"/>
    <mergeCell ref="L53:N53"/>
    <mergeCell ref="O51:R51"/>
    <mergeCell ref="O52:R52"/>
    <mergeCell ref="O53:R53"/>
    <mergeCell ref="S51:T51"/>
    <mergeCell ref="S52:T52"/>
    <mergeCell ref="S53:T53"/>
    <mergeCell ref="U51:X51"/>
    <mergeCell ref="U52:X52"/>
    <mergeCell ref="U53:X53"/>
    <mergeCell ref="T42:V42"/>
    <mergeCell ref="W42:Y42"/>
    <mergeCell ref="B43:D43"/>
    <mergeCell ref="E43:G43"/>
    <mergeCell ref="H43:J43"/>
    <mergeCell ref="K43:M43"/>
    <mergeCell ref="N43:P43"/>
    <mergeCell ref="Q43:S43"/>
    <mergeCell ref="T43:V43"/>
    <mergeCell ref="W43:Y43"/>
    <mergeCell ref="B42:D42"/>
    <mergeCell ref="E42:G42"/>
    <mergeCell ref="H42:J42"/>
    <mergeCell ref="K42:M42"/>
    <mergeCell ref="N42:P42"/>
    <mergeCell ref="Q42:S42"/>
    <mergeCell ref="B34:F37"/>
    <mergeCell ref="G34:S37"/>
    <mergeCell ref="T34:V37"/>
    <mergeCell ref="W34:Y37"/>
    <mergeCell ref="B38:F39"/>
    <mergeCell ref="G38:S39"/>
    <mergeCell ref="T38:V39"/>
    <mergeCell ref="W38:Y39"/>
    <mergeCell ref="B28:D29"/>
    <mergeCell ref="E28:F29"/>
    <mergeCell ref="G28:S29"/>
    <mergeCell ref="T28:Y29"/>
    <mergeCell ref="B32:F33"/>
    <mergeCell ref="G32:S33"/>
    <mergeCell ref="T32:Y32"/>
    <mergeCell ref="T33:V33"/>
    <mergeCell ref="W33:Y33"/>
    <mergeCell ref="B23:D23"/>
    <mergeCell ref="E23:S23"/>
    <mergeCell ref="T23:Y23"/>
    <mergeCell ref="B24:D27"/>
    <mergeCell ref="E24:F25"/>
    <mergeCell ref="G24:S25"/>
    <mergeCell ref="T24:Y27"/>
    <mergeCell ref="E26:F27"/>
    <mergeCell ref="G26:S27"/>
    <mergeCell ref="K15:N15"/>
    <mergeCell ref="R15:U15"/>
    <mergeCell ref="K16:N16"/>
    <mergeCell ref="R16:U16"/>
    <mergeCell ref="K17:N17"/>
    <mergeCell ref="R17:U17"/>
    <mergeCell ref="K12:N12"/>
    <mergeCell ref="R12:V12"/>
    <mergeCell ref="K13:N13"/>
    <mergeCell ref="R13:U13"/>
    <mergeCell ref="K14:N14"/>
    <mergeCell ref="R14:U14"/>
    <mergeCell ref="K7:N7"/>
    <mergeCell ref="K8:N8"/>
    <mergeCell ref="K9:N9"/>
    <mergeCell ref="P9:Q9"/>
    <mergeCell ref="R9:U9"/>
    <mergeCell ref="K10:N10"/>
    <mergeCell ref="U10:X10"/>
    <mergeCell ref="K4:N4"/>
    <mergeCell ref="R4:V4"/>
    <mergeCell ref="K5:N5"/>
    <mergeCell ref="P5:Q5"/>
    <mergeCell ref="V5:Y5"/>
    <mergeCell ref="K6:N6"/>
  </mergeCells>
  <phoneticPr fontId="1" type="noConversion"/>
  <conditionalFormatting sqref="B88:L88">
    <cfRule type="expression" dxfId="4" priority="22">
      <formula>$AC$88=1</formula>
    </cfRule>
  </conditionalFormatting>
  <conditionalFormatting sqref="B89:L89 B114:W114">
    <cfRule type="expression" dxfId="3" priority="23">
      <formula>$AC$88=2</formula>
    </cfRule>
  </conditionalFormatting>
  <conditionalFormatting sqref="B90:L90 B115:W115">
    <cfRule type="expression" dxfId="2" priority="25">
      <formula>$AC$88=3</formula>
    </cfRule>
  </conditionalFormatting>
  <conditionalFormatting sqref="B91:L91 B116:W116">
    <cfRule type="expression" dxfId="1" priority="27">
      <formula>$AC$88=4</formula>
    </cfRule>
  </conditionalFormatting>
  <conditionalFormatting sqref="B92:L92 B117:W117">
    <cfRule type="expression" dxfId="0" priority="29">
      <formula>$AC$88=5</formula>
    </cfRule>
  </conditionalFormatting>
  <dataValidations count="1">
    <dataValidation type="list" allowBlank="1" showInputMessage="1" showErrorMessage="1" sqref="K9:N9">
      <formula1>"없음, DB-24, DB-18,DB-13.5"</formula1>
    </dataValidation>
  </dataValidations>
  <printOptions horizontalCentered="1"/>
  <pageMargins left="0.70866141732283472" right="0.70866141732283472" top="0.59055118110236227" bottom="0.59055118110236227" header="0.31496062992125984" footer="0.31496062992125984"/>
  <pageSetup paperSize="9" fitToHeight="0" orientation="portrait" r:id="rId1"/>
  <rowBreaks count="5" manualBreakCount="5">
    <brk id="118" max="25" man="1"/>
    <brk id="176" max="25" man="1"/>
    <brk id="228" max="25" man="1"/>
    <brk id="286" max="25" man="1"/>
    <brk id="321" max="2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303"/>
  <sheetViews>
    <sheetView zoomScale="85" zoomScaleNormal="85" workbookViewId="0"/>
  </sheetViews>
  <sheetFormatPr defaultRowHeight="15" customHeight="1"/>
  <cols>
    <col min="1" max="1" width="3" style="101" customWidth="1"/>
    <col min="2" max="4" width="13.875" style="101" customWidth="1"/>
    <col min="5" max="5" width="3" style="101" customWidth="1"/>
    <col min="6" max="8" width="13.875" style="101" customWidth="1"/>
    <col min="9" max="9" width="3" style="101" customWidth="1"/>
    <col min="10" max="18" width="9" style="101"/>
    <col min="19" max="19" width="11.375" style="101" bestFit="1" customWidth="1"/>
    <col min="20" max="20" width="18" style="101" bestFit="1" customWidth="1"/>
    <col min="21" max="16384" width="9" style="101"/>
  </cols>
  <sheetData>
    <row r="1" spans="1:20" ht="15" customHeight="1" thickBot="1">
      <c r="B1" s="101" t="s">
        <v>172</v>
      </c>
      <c r="F1" s="101" t="s">
        <v>171</v>
      </c>
    </row>
    <row r="2" spans="1:20" ht="15" customHeight="1" thickTop="1">
      <c r="A2" s="102"/>
      <c r="B2" s="103" t="s">
        <v>155</v>
      </c>
      <c r="C2" s="103" t="s">
        <v>168</v>
      </c>
      <c r="D2" s="103" t="s">
        <v>169</v>
      </c>
      <c r="E2" s="102"/>
      <c r="F2" s="103" t="s">
        <v>155</v>
      </c>
      <c r="G2" s="103" t="s">
        <v>168</v>
      </c>
      <c r="H2" s="103" t="s">
        <v>169</v>
      </c>
      <c r="I2" s="102"/>
      <c r="L2" s="656" t="s">
        <v>156</v>
      </c>
      <c r="M2" s="104" t="s">
        <v>157</v>
      </c>
      <c r="N2" s="658" t="s">
        <v>158</v>
      </c>
      <c r="O2" s="659"/>
      <c r="P2" s="660"/>
    </row>
    <row r="3" spans="1:20" ht="15" customHeight="1" thickBot="1">
      <c r="A3" s="102"/>
      <c r="B3" s="105">
        <v>0</v>
      </c>
      <c r="C3" s="105">
        <f>IF(B3=0,M7,IF(AND(B3&gt;0,B3&lt;=$M$9),$M$7+(($M$8-$M$7)/($M$9-$B$3)*(B3-$B$3)),IF(AND(B3&gt;$M$9,B3&lt;=$M$10),$M$8,IF(AND(B3&gt;$M$10,B3&lt;=$M$11),$M$12/B3,IF(B3&gt;$M$11,$M$13/B3^2)))))</f>
        <v>6.3E-2</v>
      </c>
      <c r="D3" s="105">
        <f>(B3/(2*PI()))*(C3*9.81)*$M$15</f>
        <v>0</v>
      </c>
      <c r="E3" s="102"/>
      <c r="F3" s="105">
        <v>0</v>
      </c>
      <c r="G3" s="105">
        <f t="shared" ref="G3:G9" si="0">IF(F3=0,P7,IF(AND(F3&gt;0,F3&lt;=$P$9),$P$7+(($P$8-$P$7)/($P$9-$F$3)*(F3-$F$3)),IF(AND(F3&gt;$P$9,F3&lt;=$P$10),$P$8,IF(AND(F3&gt;$P$10,F3&lt;=$P$11),$P$12/F3,IF(F3&gt;$P$11,$P$13/F3^2)))))</f>
        <v>0.154</v>
      </c>
      <c r="H3" s="105">
        <f>(F3/(2*PI()))*(G3*9.81)*$P$15</f>
        <v>0</v>
      </c>
      <c r="J3" s="106"/>
      <c r="L3" s="657"/>
      <c r="M3" s="107" t="s">
        <v>159</v>
      </c>
      <c r="N3" s="108" t="s">
        <v>160</v>
      </c>
      <c r="O3" s="108" t="s">
        <v>161</v>
      </c>
      <c r="P3" s="109" t="s">
        <v>162</v>
      </c>
    </row>
    <row r="4" spans="1:20" ht="15" customHeight="1" thickTop="1" thickBot="1">
      <c r="A4" s="102"/>
      <c r="B4" s="105">
        <f t="shared" ref="B4:B67" si="1">B3+0.02</f>
        <v>0.02</v>
      </c>
      <c r="C4" s="105">
        <f t="shared" ref="C4:C67" si="2">IF(B4=0,M8,IF(AND(B4&gt;0,B4&lt;=$M$9),$M$7+(($M$8-$M$7)/($M$9-$B$3)*(B4-$B$3)),IF(AND(B4&gt;$M$9,B4&lt;=$M$10),$M$8,IF(AND(B4&gt;$M$10,B4&lt;=$M$11),$M$12/B4,IF(B4&gt;$M$11,$M$13/B4^2)))))</f>
        <v>0.1008</v>
      </c>
      <c r="D4" s="105">
        <f t="shared" ref="D4:D67" si="3">(B4/(2*PI()))*(C4*9.81)*$M$15</f>
        <v>2.3858815150446639E-3</v>
      </c>
      <c r="E4" s="102"/>
      <c r="F4" s="105">
        <f t="shared" ref="F4:F67" si="4">F3+0.02</f>
        <v>0.02</v>
      </c>
      <c r="G4" s="105">
        <f t="shared" si="0"/>
        <v>0.24640000000000001</v>
      </c>
      <c r="H4" s="105">
        <f t="shared" ref="H4:H67" si="5">(F4/(2*PI()))*(G4*9.81)*$P$15</f>
        <v>4.3164100936208217E-3</v>
      </c>
      <c r="J4" s="106"/>
      <c r="L4" s="110" t="s">
        <v>163</v>
      </c>
      <c r="M4" s="111">
        <v>2.8</v>
      </c>
      <c r="N4" s="111">
        <v>0.06</v>
      </c>
      <c r="O4" s="111">
        <v>0.3</v>
      </c>
      <c r="P4" s="112">
        <v>3</v>
      </c>
    </row>
    <row r="5" spans="1:20" ht="15" customHeight="1" thickTop="1">
      <c r="A5" s="102"/>
      <c r="B5" s="105">
        <f t="shared" si="1"/>
        <v>0.04</v>
      </c>
      <c r="C5" s="105">
        <f t="shared" si="2"/>
        <v>0.1386</v>
      </c>
      <c r="D5" s="105">
        <f t="shared" si="3"/>
        <v>6.5611741663728256E-3</v>
      </c>
      <c r="E5" s="102"/>
      <c r="F5" s="105">
        <f t="shared" si="4"/>
        <v>0.04</v>
      </c>
      <c r="G5" s="105">
        <f t="shared" si="0"/>
        <v>0.33879999999999999</v>
      </c>
      <c r="H5" s="105">
        <f t="shared" si="5"/>
        <v>1.187012775745726E-2</v>
      </c>
      <c r="J5" s="106"/>
    </row>
    <row r="6" spans="1:20" ht="15" customHeight="1">
      <c r="A6" s="102"/>
      <c r="B6" s="105">
        <f t="shared" si="1"/>
        <v>0.06</v>
      </c>
      <c r="C6" s="105">
        <f t="shared" si="2"/>
        <v>0.1764</v>
      </c>
      <c r="D6" s="105">
        <f t="shared" si="3"/>
        <v>1.2525877953984483E-2</v>
      </c>
      <c r="E6" s="102"/>
      <c r="F6" s="105">
        <f t="shared" si="4"/>
        <v>0.06</v>
      </c>
      <c r="G6" s="105">
        <f t="shared" si="0"/>
        <v>0.43120000000000003</v>
      </c>
      <c r="H6" s="105">
        <f t="shared" si="5"/>
        <v>2.2661152991509309E-2</v>
      </c>
      <c r="J6" s="106"/>
      <c r="L6" s="661" t="s">
        <v>170</v>
      </c>
      <c r="M6" s="661"/>
      <c r="O6" s="661" t="s">
        <v>13</v>
      </c>
      <c r="P6" s="661"/>
    </row>
    <row r="7" spans="1:20" ht="15" customHeight="1">
      <c r="A7" s="102"/>
      <c r="B7" s="105">
        <f t="shared" si="1"/>
        <v>0.08</v>
      </c>
      <c r="C7" s="105">
        <f t="shared" si="2"/>
        <v>0.1764</v>
      </c>
      <c r="D7" s="105">
        <f t="shared" si="3"/>
        <v>1.6701170605312649E-2</v>
      </c>
      <c r="E7" s="102"/>
      <c r="F7" s="105">
        <f t="shared" si="4"/>
        <v>0.08</v>
      </c>
      <c r="G7" s="105">
        <f t="shared" si="0"/>
        <v>0.43119999999999997</v>
      </c>
      <c r="H7" s="105">
        <f t="shared" si="5"/>
        <v>3.0214870655345744E-2</v>
      </c>
      <c r="J7" s="106"/>
      <c r="L7" s="113" t="s">
        <v>164</v>
      </c>
      <c r="M7" s="114">
        <v>6.3E-2</v>
      </c>
      <c r="O7" s="113" t="s">
        <v>164</v>
      </c>
      <c r="P7" s="114">
        <v>0.154</v>
      </c>
      <c r="R7" s="115"/>
      <c r="S7" s="115"/>
      <c r="T7" s="115"/>
    </row>
    <row r="8" spans="1:20" ht="15" customHeight="1">
      <c r="A8" s="102"/>
      <c r="B8" s="105">
        <f t="shared" si="1"/>
        <v>0.1</v>
      </c>
      <c r="C8" s="105">
        <f t="shared" si="2"/>
        <v>0.1764</v>
      </c>
      <c r="D8" s="105">
        <f t="shared" si="3"/>
        <v>2.0876463256640804E-2</v>
      </c>
      <c r="E8" s="102"/>
      <c r="F8" s="105">
        <f t="shared" si="4"/>
        <v>0.1</v>
      </c>
      <c r="G8" s="105">
        <f t="shared" si="0"/>
        <v>0.43119999999999997</v>
      </c>
      <c r="H8" s="105">
        <f t="shared" si="5"/>
        <v>3.7768588319182179E-2</v>
      </c>
      <c r="J8" s="106"/>
      <c r="L8" s="116" t="s">
        <v>165</v>
      </c>
      <c r="M8" s="117">
        <f>M7*M4</f>
        <v>0.1764</v>
      </c>
      <c r="O8" s="116" t="s">
        <v>165</v>
      </c>
      <c r="P8" s="117">
        <f>P7*M4</f>
        <v>0.43119999999999997</v>
      </c>
      <c r="R8" s="115"/>
      <c r="S8" s="115"/>
      <c r="T8" s="115"/>
    </row>
    <row r="9" spans="1:20" s="118" customFormat="1" ht="15" customHeight="1">
      <c r="B9" s="105">
        <f t="shared" si="1"/>
        <v>0.12000000000000001</v>
      </c>
      <c r="C9" s="105">
        <f t="shared" si="2"/>
        <v>0.1764</v>
      </c>
      <c r="D9" s="105">
        <f t="shared" si="3"/>
        <v>2.5051755907968969E-2</v>
      </c>
      <c r="E9" s="119"/>
      <c r="F9" s="105">
        <f t="shared" si="4"/>
        <v>0.12000000000000001</v>
      </c>
      <c r="G9" s="105">
        <f t="shared" si="0"/>
        <v>0.43119999999999997</v>
      </c>
      <c r="H9" s="105">
        <f t="shared" si="5"/>
        <v>4.5322305983018618E-2</v>
      </c>
      <c r="I9" s="101"/>
      <c r="J9" s="106"/>
      <c r="K9" s="101"/>
      <c r="L9" s="116" t="s">
        <v>160</v>
      </c>
      <c r="M9" s="117">
        <v>0.06</v>
      </c>
      <c r="N9" s="101"/>
      <c r="O9" s="116" t="s">
        <v>160</v>
      </c>
      <c r="P9" s="117">
        <v>0.06</v>
      </c>
      <c r="Q9" s="101"/>
      <c r="R9" s="101"/>
    </row>
    <row r="10" spans="1:20" ht="15" customHeight="1">
      <c r="B10" s="105">
        <f t="shared" si="1"/>
        <v>0.14000000000000001</v>
      </c>
      <c r="C10" s="105">
        <f t="shared" si="2"/>
        <v>0.1764</v>
      </c>
      <c r="D10" s="105">
        <f t="shared" si="3"/>
        <v>2.9227048559297131E-2</v>
      </c>
      <c r="F10" s="105">
        <f t="shared" si="4"/>
        <v>0.14000000000000001</v>
      </c>
      <c r="G10" s="105">
        <f t="shared" ref="G10:G73" si="6">IF(F10=0,T25,IF(AND(F10&gt;0,F10&lt;=$P$9),$P$7+(($P$8-$P$7)/($P$9-$F$3)*(F10-$F$3)),IF(AND(F10&gt;$P$9,F10&lt;=$P$10),$P$8,IF(AND(F10&gt;$P$10,F10&lt;=$P$11),$P$12/F10,IF(F10&gt;$P$11,$P$13/F10^2)))))</f>
        <v>0.43119999999999997</v>
      </c>
      <c r="H10" s="105">
        <f t="shared" si="5"/>
        <v>5.2876023646855064E-2</v>
      </c>
      <c r="J10" s="106"/>
      <c r="L10" s="116" t="s">
        <v>161</v>
      </c>
      <c r="M10" s="117">
        <v>0.3</v>
      </c>
      <c r="O10" s="116" t="s">
        <v>161</v>
      </c>
      <c r="P10" s="117">
        <v>0.3</v>
      </c>
    </row>
    <row r="11" spans="1:20" ht="15" customHeight="1">
      <c r="B11" s="105">
        <f t="shared" si="1"/>
        <v>0.16</v>
      </c>
      <c r="C11" s="105">
        <f t="shared" si="2"/>
        <v>0.1764</v>
      </c>
      <c r="D11" s="105">
        <f t="shared" si="3"/>
        <v>3.3402341210625297E-2</v>
      </c>
      <c r="F11" s="105">
        <f t="shared" si="4"/>
        <v>0.16</v>
      </c>
      <c r="G11" s="105">
        <f t="shared" si="6"/>
        <v>0.43119999999999997</v>
      </c>
      <c r="H11" s="105">
        <f t="shared" si="5"/>
        <v>6.0429741310691489E-2</v>
      </c>
      <c r="J11" s="106"/>
      <c r="K11" s="118"/>
      <c r="L11" s="116" t="s">
        <v>162</v>
      </c>
      <c r="M11" s="117">
        <v>3</v>
      </c>
      <c r="N11" s="118"/>
      <c r="O11" s="116" t="s">
        <v>162</v>
      </c>
      <c r="P11" s="117">
        <v>3</v>
      </c>
      <c r="Q11" s="118"/>
      <c r="R11" s="118"/>
      <c r="S11" s="118"/>
      <c r="T11" s="118"/>
    </row>
    <row r="12" spans="1:20" ht="15" customHeight="1">
      <c r="B12" s="105">
        <f t="shared" si="1"/>
        <v>0.18</v>
      </c>
      <c r="C12" s="105">
        <f t="shared" si="2"/>
        <v>0.1764</v>
      </c>
      <c r="D12" s="105">
        <f t="shared" si="3"/>
        <v>3.7577633861953445E-2</v>
      </c>
      <c r="F12" s="105">
        <f t="shared" si="4"/>
        <v>0.18</v>
      </c>
      <c r="G12" s="105">
        <f t="shared" si="6"/>
        <v>0.43119999999999997</v>
      </c>
      <c r="H12" s="105">
        <f t="shared" si="5"/>
        <v>6.7983458974527913E-2</v>
      </c>
      <c r="J12" s="106"/>
      <c r="L12" s="120" t="s">
        <v>166</v>
      </c>
      <c r="M12" s="121">
        <f>M10*M8</f>
        <v>5.2920000000000002E-2</v>
      </c>
      <c r="O12" s="120" t="s">
        <v>166</v>
      </c>
      <c r="P12" s="121">
        <f>P10*P8</f>
        <v>0.12935999999999998</v>
      </c>
    </row>
    <row r="13" spans="1:20" ht="15" customHeight="1">
      <c r="B13" s="105">
        <f t="shared" si="1"/>
        <v>0.19999999999999998</v>
      </c>
      <c r="C13" s="105">
        <f t="shared" si="2"/>
        <v>0.1764</v>
      </c>
      <c r="D13" s="105">
        <f t="shared" si="3"/>
        <v>4.1752926513281607E-2</v>
      </c>
      <c r="F13" s="105">
        <f t="shared" si="4"/>
        <v>0.19999999999999998</v>
      </c>
      <c r="G13" s="105">
        <f t="shared" si="6"/>
        <v>0.43119999999999997</v>
      </c>
      <c r="H13" s="105">
        <f t="shared" si="5"/>
        <v>7.5537176638364359E-2</v>
      </c>
      <c r="J13" s="106"/>
      <c r="L13" s="120" t="s">
        <v>167</v>
      </c>
      <c r="M13" s="121">
        <f>M10*M8*M11</f>
        <v>0.15876000000000001</v>
      </c>
      <c r="O13" s="120" t="s">
        <v>167</v>
      </c>
      <c r="P13" s="121">
        <f>P10*P8*P11</f>
        <v>0.38807999999999993</v>
      </c>
    </row>
    <row r="14" spans="1:20" s="118" customFormat="1" ht="15" customHeight="1">
      <c r="B14" s="105">
        <f t="shared" si="1"/>
        <v>0.21999999999999997</v>
      </c>
      <c r="C14" s="105">
        <f t="shared" si="2"/>
        <v>0.1764</v>
      </c>
      <c r="D14" s="105">
        <f t="shared" si="3"/>
        <v>4.592821916460977E-2</v>
      </c>
      <c r="E14" s="119"/>
      <c r="F14" s="105">
        <f t="shared" si="4"/>
        <v>0.21999999999999997</v>
      </c>
      <c r="G14" s="105">
        <f t="shared" si="6"/>
        <v>0.43119999999999997</v>
      </c>
      <c r="H14" s="105">
        <f t="shared" si="5"/>
        <v>8.3090894302200791E-2</v>
      </c>
      <c r="I14" s="101"/>
      <c r="J14" s="106"/>
      <c r="K14" s="101"/>
      <c r="L14" s="101"/>
      <c r="M14" s="101"/>
      <c r="N14" s="101"/>
      <c r="O14" s="101"/>
      <c r="P14" s="101"/>
      <c r="Q14" s="101"/>
      <c r="R14" s="101"/>
    </row>
    <row r="15" spans="1:20" ht="15" customHeight="1">
      <c r="B15" s="105">
        <f t="shared" si="1"/>
        <v>0.23999999999999996</v>
      </c>
      <c r="C15" s="105">
        <f t="shared" si="2"/>
        <v>0.1764</v>
      </c>
      <c r="D15" s="105">
        <f t="shared" si="3"/>
        <v>5.0103511815937932E-2</v>
      </c>
      <c r="F15" s="105">
        <f t="shared" si="4"/>
        <v>0.23999999999999996</v>
      </c>
      <c r="G15" s="105">
        <f t="shared" si="6"/>
        <v>0.43119999999999997</v>
      </c>
      <c r="H15" s="105">
        <f t="shared" si="5"/>
        <v>9.0644611966037222E-2</v>
      </c>
      <c r="J15" s="106"/>
      <c r="L15" s="122" t="s">
        <v>173</v>
      </c>
      <c r="M15" s="123">
        <v>0.75800000000000001</v>
      </c>
      <c r="O15" s="122" t="s">
        <v>173</v>
      </c>
      <c r="P15" s="123">
        <v>0.56100000000000005</v>
      </c>
      <c r="R15" s="124"/>
      <c r="S15" s="106"/>
    </row>
    <row r="16" spans="1:20" ht="15" customHeight="1">
      <c r="B16" s="105">
        <f t="shared" si="1"/>
        <v>0.25999999999999995</v>
      </c>
      <c r="C16" s="105">
        <f t="shared" si="2"/>
        <v>0.1764</v>
      </c>
      <c r="D16" s="105">
        <f t="shared" si="3"/>
        <v>5.4278804467266087E-2</v>
      </c>
      <c r="F16" s="105">
        <f t="shared" si="4"/>
        <v>0.25999999999999995</v>
      </c>
      <c r="G16" s="105">
        <f t="shared" si="6"/>
        <v>0.43119999999999997</v>
      </c>
      <c r="H16" s="105">
        <f t="shared" si="5"/>
        <v>9.819832962987364E-2</v>
      </c>
      <c r="J16" s="106"/>
      <c r="K16" s="118"/>
      <c r="M16" s="118"/>
      <c r="N16" s="118"/>
      <c r="O16" s="118"/>
      <c r="P16" s="118"/>
      <c r="Q16" s="118"/>
      <c r="R16" s="125"/>
      <c r="S16" s="106"/>
    </row>
    <row r="17" spans="2:19" ht="15" customHeight="1">
      <c r="B17" s="105">
        <f t="shared" si="1"/>
        <v>0.27999999999999997</v>
      </c>
      <c r="C17" s="105">
        <f t="shared" si="2"/>
        <v>0.1764</v>
      </c>
      <c r="D17" s="105">
        <f t="shared" si="3"/>
        <v>5.8454097118594242E-2</v>
      </c>
      <c r="F17" s="105">
        <f t="shared" si="4"/>
        <v>0.27999999999999997</v>
      </c>
      <c r="G17" s="105">
        <f t="shared" si="6"/>
        <v>0.43119999999999997</v>
      </c>
      <c r="H17" s="105">
        <f t="shared" si="5"/>
        <v>0.10575204729371009</v>
      </c>
      <c r="J17" s="106"/>
      <c r="R17" s="124"/>
      <c r="S17" s="106"/>
    </row>
    <row r="18" spans="2:19" ht="15" customHeight="1">
      <c r="B18" s="105">
        <f t="shared" si="1"/>
        <v>0.3</v>
      </c>
      <c r="C18" s="105">
        <f t="shared" si="2"/>
        <v>0.1764</v>
      </c>
      <c r="D18" s="105">
        <f t="shared" si="3"/>
        <v>6.2629389769922411E-2</v>
      </c>
      <c r="F18" s="105">
        <f t="shared" si="4"/>
        <v>0.3</v>
      </c>
      <c r="G18" s="105">
        <f t="shared" si="6"/>
        <v>0.43119999999999997</v>
      </c>
      <c r="H18" s="105">
        <f t="shared" si="5"/>
        <v>0.11330576495754652</v>
      </c>
      <c r="J18" s="106"/>
      <c r="R18" s="124"/>
      <c r="S18" s="106"/>
    </row>
    <row r="19" spans="2:19" ht="15" customHeight="1">
      <c r="B19" s="105">
        <f t="shared" si="1"/>
        <v>0.32</v>
      </c>
      <c r="C19" s="105">
        <f t="shared" si="2"/>
        <v>0.16537499999999999</v>
      </c>
      <c r="D19" s="105">
        <f t="shared" si="3"/>
        <v>6.2629389769922425E-2</v>
      </c>
      <c r="F19" s="105">
        <f t="shared" si="4"/>
        <v>0.32</v>
      </c>
      <c r="G19" s="105">
        <f t="shared" si="6"/>
        <v>0.40424999999999989</v>
      </c>
      <c r="H19" s="105">
        <f t="shared" si="5"/>
        <v>0.11330576495754652</v>
      </c>
      <c r="J19" s="106"/>
      <c r="R19" s="124"/>
      <c r="S19" s="106"/>
    </row>
    <row r="20" spans="2:19" ht="15" customHeight="1">
      <c r="B20" s="105">
        <f t="shared" si="1"/>
        <v>0.34</v>
      </c>
      <c r="C20" s="105">
        <f t="shared" si="2"/>
        <v>0.15564705882352942</v>
      </c>
      <c r="D20" s="105">
        <f t="shared" si="3"/>
        <v>6.2629389769922425E-2</v>
      </c>
      <c r="F20" s="105">
        <f t="shared" si="4"/>
        <v>0.34</v>
      </c>
      <c r="G20" s="105">
        <f t="shared" si="6"/>
        <v>0.380470588235294</v>
      </c>
      <c r="H20" s="105">
        <f t="shared" si="5"/>
        <v>0.11330576495754652</v>
      </c>
      <c r="J20" s="106"/>
      <c r="R20" s="124"/>
      <c r="S20" s="106"/>
    </row>
    <row r="21" spans="2:19" ht="15" customHeight="1">
      <c r="B21" s="105">
        <f t="shared" si="1"/>
        <v>0.36000000000000004</v>
      </c>
      <c r="C21" s="105">
        <f t="shared" si="2"/>
        <v>0.14699999999999999</v>
      </c>
      <c r="D21" s="105">
        <f t="shared" si="3"/>
        <v>6.2629389769922425E-2</v>
      </c>
      <c r="F21" s="105">
        <f t="shared" si="4"/>
        <v>0.36000000000000004</v>
      </c>
      <c r="G21" s="105">
        <f t="shared" si="6"/>
        <v>0.35933333333333323</v>
      </c>
      <c r="H21" s="105">
        <f t="shared" si="5"/>
        <v>0.11330576495754652</v>
      </c>
      <c r="J21" s="106"/>
      <c r="R21" s="124"/>
      <c r="S21" s="106"/>
    </row>
    <row r="22" spans="2:19" ht="15" customHeight="1">
      <c r="B22" s="105">
        <f t="shared" si="1"/>
        <v>0.38000000000000006</v>
      </c>
      <c r="C22" s="105">
        <f t="shared" si="2"/>
        <v>0.13926315789473681</v>
      </c>
      <c r="D22" s="105">
        <f t="shared" si="3"/>
        <v>6.2629389769922425E-2</v>
      </c>
      <c r="F22" s="105">
        <f t="shared" si="4"/>
        <v>0.38000000000000006</v>
      </c>
      <c r="G22" s="105">
        <f t="shared" si="6"/>
        <v>0.34042105263157885</v>
      </c>
      <c r="H22" s="105">
        <f t="shared" si="5"/>
        <v>0.11330576495754653</v>
      </c>
      <c r="J22" s="106"/>
      <c r="R22" s="124"/>
      <c r="S22" s="106"/>
    </row>
    <row r="23" spans="2:19" ht="15" customHeight="1">
      <c r="B23" s="105">
        <f t="shared" si="1"/>
        <v>0.40000000000000008</v>
      </c>
      <c r="C23" s="105">
        <f t="shared" si="2"/>
        <v>0.13229999999999997</v>
      </c>
      <c r="D23" s="105">
        <f t="shared" si="3"/>
        <v>6.2629389769922411E-2</v>
      </c>
      <c r="F23" s="105">
        <f t="shared" si="4"/>
        <v>0.40000000000000008</v>
      </c>
      <c r="G23" s="105">
        <f t="shared" si="6"/>
        <v>0.32339999999999985</v>
      </c>
      <c r="H23" s="105">
        <f t="shared" si="5"/>
        <v>0.1133057649575465</v>
      </c>
      <c r="J23" s="106"/>
      <c r="R23" s="124"/>
      <c r="S23" s="106"/>
    </row>
    <row r="24" spans="2:19" ht="15" customHeight="1">
      <c r="B24" s="105">
        <f t="shared" si="1"/>
        <v>0.4200000000000001</v>
      </c>
      <c r="C24" s="105">
        <f t="shared" si="2"/>
        <v>0.12599999999999997</v>
      </c>
      <c r="D24" s="105">
        <f t="shared" si="3"/>
        <v>6.2629389769922425E-2</v>
      </c>
      <c r="F24" s="105">
        <f t="shared" si="4"/>
        <v>0.4200000000000001</v>
      </c>
      <c r="G24" s="105">
        <f t="shared" si="6"/>
        <v>0.30799999999999988</v>
      </c>
      <c r="H24" s="105">
        <f t="shared" si="5"/>
        <v>0.11330576495754653</v>
      </c>
      <c r="J24" s="106"/>
      <c r="R24" s="124"/>
      <c r="S24" s="106"/>
    </row>
    <row r="25" spans="2:19" ht="15" customHeight="1">
      <c r="B25" s="105">
        <f t="shared" si="1"/>
        <v>0.44000000000000011</v>
      </c>
      <c r="C25" s="105">
        <f t="shared" si="2"/>
        <v>0.12027272727272724</v>
      </c>
      <c r="D25" s="105">
        <f t="shared" si="3"/>
        <v>6.2629389769922411E-2</v>
      </c>
      <c r="F25" s="105">
        <f t="shared" si="4"/>
        <v>0.44000000000000011</v>
      </c>
      <c r="G25" s="105">
        <f t="shared" si="6"/>
        <v>0.29399999999999987</v>
      </c>
      <c r="H25" s="105">
        <f t="shared" si="5"/>
        <v>0.11330576495754653</v>
      </c>
      <c r="J25" s="106"/>
      <c r="R25" s="124"/>
      <c r="S25" s="106"/>
    </row>
    <row r="26" spans="2:19" ht="15" customHeight="1">
      <c r="B26" s="105">
        <f t="shared" si="1"/>
        <v>0.46000000000000013</v>
      </c>
      <c r="C26" s="105">
        <f t="shared" si="2"/>
        <v>0.11504347826086954</v>
      </c>
      <c r="D26" s="105">
        <f t="shared" si="3"/>
        <v>6.2629389769922425E-2</v>
      </c>
      <c r="F26" s="105">
        <f t="shared" si="4"/>
        <v>0.46000000000000013</v>
      </c>
      <c r="G26" s="105">
        <f t="shared" si="6"/>
        <v>0.2812173913043477</v>
      </c>
      <c r="H26" s="105">
        <f t="shared" si="5"/>
        <v>0.11330576495754653</v>
      </c>
      <c r="J26" s="106"/>
      <c r="R26" s="124"/>
      <c r="S26" s="106"/>
    </row>
    <row r="27" spans="2:19" ht="15" customHeight="1">
      <c r="B27" s="105">
        <f t="shared" si="1"/>
        <v>0.48000000000000015</v>
      </c>
      <c r="C27" s="105">
        <f t="shared" si="2"/>
        <v>0.11024999999999997</v>
      </c>
      <c r="D27" s="105">
        <f t="shared" si="3"/>
        <v>6.2629389769922411E-2</v>
      </c>
      <c r="F27" s="105">
        <f t="shared" si="4"/>
        <v>0.48000000000000015</v>
      </c>
      <c r="G27" s="105">
        <f t="shared" si="6"/>
        <v>0.26949999999999985</v>
      </c>
      <c r="H27" s="105">
        <f t="shared" si="5"/>
        <v>0.1133057649575465</v>
      </c>
      <c r="J27" s="106"/>
      <c r="R27" s="124"/>
      <c r="S27" s="106"/>
    </row>
    <row r="28" spans="2:19" ht="15" customHeight="1">
      <c r="B28" s="105">
        <f t="shared" si="1"/>
        <v>0.50000000000000011</v>
      </c>
      <c r="C28" s="105">
        <f t="shared" si="2"/>
        <v>0.10583999999999998</v>
      </c>
      <c r="D28" s="105">
        <f t="shared" si="3"/>
        <v>6.2629389769922411E-2</v>
      </c>
      <c r="F28" s="105">
        <f t="shared" si="4"/>
        <v>0.50000000000000011</v>
      </c>
      <c r="G28" s="105">
        <f t="shared" si="6"/>
        <v>0.25871999999999989</v>
      </c>
      <c r="H28" s="105">
        <f t="shared" si="5"/>
        <v>0.11330576495754653</v>
      </c>
      <c r="J28" s="106"/>
      <c r="R28" s="124"/>
      <c r="S28" s="106"/>
    </row>
    <row r="29" spans="2:19" ht="15" customHeight="1">
      <c r="B29" s="105">
        <f t="shared" si="1"/>
        <v>0.52000000000000013</v>
      </c>
      <c r="C29" s="105">
        <f t="shared" si="2"/>
        <v>0.10176923076923075</v>
      </c>
      <c r="D29" s="105">
        <f t="shared" si="3"/>
        <v>6.2629389769922425E-2</v>
      </c>
      <c r="F29" s="105">
        <f t="shared" si="4"/>
        <v>0.52000000000000013</v>
      </c>
      <c r="G29" s="105">
        <f t="shared" si="6"/>
        <v>0.24876923076923066</v>
      </c>
      <c r="H29" s="105">
        <f t="shared" si="5"/>
        <v>0.11330576495754652</v>
      </c>
      <c r="J29" s="106"/>
      <c r="R29" s="124"/>
      <c r="S29" s="106"/>
    </row>
    <row r="30" spans="2:19" ht="15" customHeight="1">
      <c r="B30" s="105">
        <f t="shared" si="1"/>
        <v>0.54000000000000015</v>
      </c>
      <c r="C30" s="105">
        <f t="shared" si="2"/>
        <v>9.7999999999999976E-2</v>
      </c>
      <c r="D30" s="105">
        <f t="shared" si="3"/>
        <v>6.2629389769922411E-2</v>
      </c>
      <c r="F30" s="105">
        <f t="shared" si="4"/>
        <v>0.54000000000000015</v>
      </c>
      <c r="G30" s="105">
        <f t="shared" si="6"/>
        <v>0.23955555555555544</v>
      </c>
      <c r="H30" s="105">
        <f t="shared" si="5"/>
        <v>0.11330576495754652</v>
      </c>
      <c r="J30" s="106"/>
      <c r="R30" s="124"/>
      <c r="S30" s="106"/>
    </row>
    <row r="31" spans="2:19" ht="15" customHeight="1">
      <c r="B31" s="105">
        <f t="shared" si="1"/>
        <v>0.56000000000000016</v>
      </c>
      <c r="C31" s="105">
        <f t="shared" si="2"/>
        <v>9.4499999999999973E-2</v>
      </c>
      <c r="D31" s="105">
        <f t="shared" si="3"/>
        <v>6.2629389769922425E-2</v>
      </c>
      <c r="F31" s="105">
        <f t="shared" si="4"/>
        <v>0.56000000000000016</v>
      </c>
      <c r="G31" s="105">
        <f t="shared" si="6"/>
        <v>0.2309999999999999</v>
      </c>
      <c r="H31" s="105">
        <f t="shared" si="5"/>
        <v>0.11330576495754652</v>
      </c>
      <c r="J31" s="106"/>
      <c r="R31" s="124"/>
      <c r="S31" s="106"/>
    </row>
    <row r="32" spans="2:19" ht="15" customHeight="1">
      <c r="B32" s="105">
        <f t="shared" si="1"/>
        <v>0.58000000000000018</v>
      </c>
      <c r="C32" s="105">
        <f t="shared" si="2"/>
        <v>9.1241379310344803E-2</v>
      </c>
      <c r="D32" s="105">
        <f t="shared" si="3"/>
        <v>6.2629389769922411E-2</v>
      </c>
      <c r="F32" s="105">
        <f t="shared" si="4"/>
        <v>0.58000000000000018</v>
      </c>
      <c r="G32" s="105">
        <f t="shared" si="6"/>
        <v>0.22303448275862059</v>
      </c>
      <c r="H32" s="105">
        <f t="shared" si="5"/>
        <v>0.11330576495754652</v>
      </c>
      <c r="J32" s="106"/>
      <c r="R32" s="124"/>
      <c r="S32" s="106"/>
    </row>
    <row r="33" spans="2:19" ht="15" customHeight="1">
      <c r="B33" s="105">
        <f t="shared" si="1"/>
        <v>0.6000000000000002</v>
      </c>
      <c r="C33" s="105">
        <f t="shared" si="2"/>
        <v>8.8199999999999973E-2</v>
      </c>
      <c r="D33" s="105">
        <f t="shared" si="3"/>
        <v>6.2629389769922411E-2</v>
      </c>
      <c r="F33" s="105">
        <f t="shared" si="4"/>
        <v>0.6000000000000002</v>
      </c>
      <c r="G33" s="105">
        <f t="shared" si="6"/>
        <v>0.21559999999999988</v>
      </c>
      <c r="H33" s="105">
        <f t="shared" si="5"/>
        <v>0.11330576495754652</v>
      </c>
      <c r="J33" s="106"/>
      <c r="R33" s="124"/>
      <c r="S33" s="106"/>
    </row>
    <row r="34" spans="2:19" ht="15" customHeight="1">
      <c r="B34" s="105">
        <f t="shared" si="1"/>
        <v>0.62000000000000022</v>
      </c>
      <c r="C34" s="105">
        <f t="shared" si="2"/>
        <v>8.5354838709677389E-2</v>
      </c>
      <c r="D34" s="105">
        <f t="shared" si="3"/>
        <v>6.2629389769922411E-2</v>
      </c>
      <c r="F34" s="105">
        <f t="shared" si="4"/>
        <v>0.62000000000000022</v>
      </c>
      <c r="G34" s="105">
        <f t="shared" si="6"/>
        <v>0.20864516129032246</v>
      </c>
      <c r="H34" s="105">
        <f t="shared" si="5"/>
        <v>0.11330576495754652</v>
      </c>
      <c r="J34" s="106"/>
      <c r="R34" s="124"/>
      <c r="S34" s="106"/>
    </row>
    <row r="35" spans="2:19" ht="15" customHeight="1">
      <c r="B35" s="105">
        <f t="shared" si="1"/>
        <v>0.64000000000000024</v>
      </c>
      <c r="C35" s="105">
        <f t="shared" si="2"/>
        <v>8.2687499999999969E-2</v>
      </c>
      <c r="D35" s="105">
        <f t="shared" si="3"/>
        <v>6.2629389769922411E-2</v>
      </c>
      <c r="F35" s="105">
        <f t="shared" si="4"/>
        <v>0.64000000000000024</v>
      </c>
      <c r="G35" s="105">
        <f t="shared" si="6"/>
        <v>0.20212499999999989</v>
      </c>
      <c r="H35" s="105">
        <f t="shared" si="5"/>
        <v>0.11330576495754652</v>
      </c>
      <c r="J35" s="106"/>
      <c r="R35" s="124"/>
      <c r="S35" s="106"/>
    </row>
    <row r="36" spans="2:19" ht="15" customHeight="1">
      <c r="B36" s="105">
        <f t="shared" si="1"/>
        <v>0.66000000000000025</v>
      </c>
      <c r="C36" s="105">
        <f t="shared" si="2"/>
        <v>8.018181818181816E-2</v>
      </c>
      <c r="D36" s="105">
        <f t="shared" si="3"/>
        <v>6.2629389769922425E-2</v>
      </c>
      <c r="F36" s="105">
        <f t="shared" si="4"/>
        <v>0.66000000000000025</v>
      </c>
      <c r="G36" s="105">
        <f t="shared" si="6"/>
        <v>0.1959999999999999</v>
      </c>
      <c r="H36" s="105">
        <f t="shared" si="5"/>
        <v>0.11330576495754653</v>
      </c>
      <c r="J36" s="106"/>
      <c r="R36" s="124"/>
      <c r="S36" s="106"/>
    </row>
    <row r="37" spans="2:19" ht="15" customHeight="1">
      <c r="B37" s="105">
        <f t="shared" si="1"/>
        <v>0.68000000000000027</v>
      </c>
      <c r="C37" s="105">
        <f t="shared" si="2"/>
        <v>7.782352941176468E-2</v>
      </c>
      <c r="D37" s="105">
        <f t="shared" si="3"/>
        <v>6.2629389769922425E-2</v>
      </c>
      <c r="F37" s="105">
        <f t="shared" si="4"/>
        <v>0.68000000000000027</v>
      </c>
      <c r="G37" s="105">
        <f t="shared" si="6"/>
        <v>0.19023529411764695</v>
      </c>
      <c r="H37" s="105">
        <f t="shared" si="5"/>
        <v>0.11330576495754652</v>
      </c>
      <c r="J37" s="106"/>
      <c r="R37" s="124"/>
      <c r="S37" s="106"/>
    </row>
    <row r="38" spans="2:19" ht="15" customHeight="1">
      <c r="B38" s="105">
        <f t="shared" si="1"/>
        <v>0.70000000000000029</v>
      </c>
      <c r="C38" s="105">
        <f t="shared" si="2"/>
        <v>7.5599999999999973E-2</v>
      </c>
      <c r="D38" s="105">
        <f t="shared" si="3"/>
        <v>6.2629389769922425E-2</v>
      </c>
      <c r="F38" s="105">
        <f t="shared" si="4"/>
        <v>0.70000000000000029</v>
      </c>
      <c r="G38" s="105">
        <f t="shared" si="6"/>
        <v>0.18479999999999988</v>
      </c>
      <c r="H38" s="105">
        <f t="shared" si="5"/>
        <v>0.11330576495754652</v>
      </c>
      <c r="J38" s="106"/>
      <c r="R38" s="124"/>
      <c r="S38" s="106"/>
    </row>
    <row r="39" spans="2:19" ht="15" customHeight="1">
      <c r="B39" s="105">
        <f t="shared" si="1"/>
        <v>0.72000000000000031</v>
      </c>
      <c r="C39" s="105">
        <f t="shared" si="2"/>
        <v>7.3499999999999968E-2</v>
      </c>
      <c r="D39" s="105">
        <f t="shared" si="3"/>
        <v>6.2629389769922425E-2</v>
      </c>
      <c r="F39" s="105">
        <f t="shared" si="4"/>
        <v>0.72000000000000031</v>
      </c>
      <c r="G39" s="105">
        <f t="shared" si="6"/>
        <v>0.17966666666666656</v>
      </c>
      <c r="H39" s="105">
        <f t="shared" si="5"/>
        <v>0.11330576495754652</v>
      </c>
      <c r="J39" s="106"/>
      <c r="R39" s="124"/>
      <c r="S39" s="106"/>
    </row>
    <row r="40" spans="2:19" ht="15" customHeight="1">
      <c r="B40" s="105">
        <f t="shared" si="1"/>
        <v>0.74000000000000032</v>
      </c>
      <c r="C40" s="105">
        <f t="shared" si="2"/>
        <v>7.1513513513513483E-2</v>
      </c>
      <c r="D40" s="105">
        <f t="shared" si="3"/>
        <v>6.2629389769922425E-2</v>
      </c>
      <c r="F40" s="105">
        <f t="shared" si="4"/>
        <v>0.74000000000000032</v>
      </c>
      <c r="G40" s="105">
        <f t="shared" si="6"/>
        <v>0.17481081081081071</v>
      </c>
      <c r="H40" s="105">
        <f t="shared" si="5"/>
        <v>0.11330576495754653</v>
      </c>
      <c r="J40" s="106"/>
      <c r="R40" s="124"/>
      <c r="S40" s="106"/>
    </row>
    <row r="41" spans="2:19" ht="15" customHeight="1">
      <c r="B41" s="105">
        <f t="shared" si="1"/>
        <v>0.76000000000000034</v>
      </c>
      <c r="C41" s="105">
        <f t="shared" si="2"/>
        <v>6.9631578947368392E-2</v>
      </c>
      <c r="D41" s="105">
        <f t="shared" si="3"/>
        <v>6.2629389769922411E-2</v>
      </c>
      <c r="F41" s="105">
        <f t="shared" si="4"/>
        <v>0.76000000000000034</v>
      </c>
      <c r="G41" s="105">
        <f t="shared" si="6"/>
        <v>0.17021052631578937</v>
      </c>
      <c r="H41" s="105">
        <f t="shared" si="5"/>
        <v>0.11330576495754652</v>
      </c>
      <c r="J41" s="106"/>
      <c r="R41" s="124"/>
      <c r="S41" s="106"/>
    </row>
    <row r="42" spans="2:19" ht="15" customHeight="1">
      <c r="B42" s="105">
        <f t="shared" si="1"/>
        <v>0.78000000000000036</v>
      </c>
      <c r="C42" s="105">
        <f t="shared" si="2"/>
        <v>6.784615384615382E-2</v>
      </c>
      <c r="D42" s="105">
        <f t="shared" si="3"/>
        <v>6.2629389769922425E-2</v>
      </c>
      <c r="F42" s="105">
        <f t="shared" si="4"/>
        <v>0.78000000000000036</v>
      </c>
      <c r="G42" s="105">
        <f t="shared" si="6"/>
        <v>0.16584615384615373</v>
      </c>
      <c r="H42" s="105">
        <f t="shared" si="5"/>
        <v>0.11330576495754652</v>
      </c>
      <c r="J42" s="106"/>
      <c r="R42" s="124"/>
      <c r="S42" s="106"/>
    </row>
    <row r="43" spans="2:19" ht="15" customHeight="1">
      <c r="B43" s="105">
        <f t="shared" si="1"/>
        <v>0.80000000000000038</v>
      </c>
      <c r="C43" s="105">
        <f t="shared" si="2"/>
        <v>6.6149999999999973E-2</v>
      </c>
      <c r="D43" s="105">
        <f t="shared" si="3"/>
        <v>6.2629389769922425E-2</v>
      </c>
      <c r="F43" s="105">
        <f t="shared" si="4"/>
        <v>0.80000000000000038</v>
      </c>
      <c r="G43" s="105">
        <f t="shared" si="6"/>
        <v>0.1616999999999999</v>
      </c>
      <c r="H43" s="105">
        <f t="shared" si="5"/>
        <v>0.11330576495754652</v>
      </c>
      <c r="J43" s="106"/>
      <c r="R43" s="124"/>
      <c r="S43" s="106"/>
    </row>
    <row r="44" spans="2:19" ht="15" customHeight="1">
      <c r="B44" s="105">
        <f t="shared" si="1"/>
        <v>0.8200000000000004</v>
      </c>
      <c r="C44" s="105">
        <f t="shared" si="2"/>
        <v>6.4536585365853633E-2</v>
      </c>
      <c r="D44" s="105">
        <f t="shared" si="3"/>
        <v>6.2629389769922425E-2</v>
      </c>
      <c r="F44" s="105">
        <f t="shared" si="4"/>
        <v>0.8200000000000004</v>
      </c>
      <c r="G44" s="105">
        <f t="shared" si="6"/>
        <v>0.1577560975609755</v>
      </c>
      <c r="H44" s="105">
        <f t="shared" si="5"/>
        <v>0.11330576495754653</v>
      </c>
      <c r="J44" s="106"/>
      <c r="R44" s="124"/>
      <c r="S44" s="106"/>
    </row>
    <row r="45" spans="2:19" ht="15" customHeight="1">
      <c r="B45" s="105">
        <f t="shared" si="1"/>
        <v>0.84000000000000041</v>
      </c>
      <c r="C45" s="105">
        <f t="shared" si="2"/>
        <v>6.2999999999999973E-2</v>
      </c>
      <c r="D45" s="105">
        <f t="shared" si="3"/>
        <v>6.2629389769922425E-2</v>
      </c>
      <c r="F45" s="105">
        <f t="shared" si="4"/>
        <v>0.84000000000000041</v>
      </c>
      <c r="G45" s="105">
        <f t="shared" si="6"/>
        <v>0.15399999999999989</v>
      </c>
      <c r="H45" s="105">
        <f t="shared" si="5"/>
        <v>0.11330576495754652</v>
      </c>
      <c r="J45" s="106"/>
      <c r="R45" s="124"/>
      <c r="S45" s="106"/>
    </row>
    <row r="46" spans="2:19" ht="15" customHeight="1">
      <c r="B46" s="105">
        <f t="shared" si="1"/>
        <v>0.86000000000000043</v>
      </c>
      <c r="C46" s="105">
        <f t="shared" si="2"/>
        <v>6.1534883720930203E-2</v>
      </c>
      <c r="D46" s="105">
        <f t="shared" si="3"/>
        <v>6.2629389769922425E-2</v>
      </c>
      <c r="F46" s="105">
        <f t="shared" si="4"/>
        <v>0.86000000000000043</v>
      </c>
      <c r="G46" s="105">
        <f t="shared" si="6"/>
        <v>0.15041860465116269</v>
      </c>
      <c r="H46" s="105">
        <f t="shared" si="5"/>
        <v>0.11330576495754652</v>
      </c>
      <c r="J46" s="106"/>
      <c r="R46" s="124"/>
      <c r="S46" s="106"/>
    </row>
    <row r="47" spans="2:19" ht="15" customHeight="1">
      <c r="B47" s="105">
        <f t="shared" si="1"/>
        <v>0.88000000000000045</v>
      </c>
      <c r="C47" s="105">
        <f t="shared" si="2"/>
        <v>6.0136363636363606E-2</v>
      </c>
      <c r="D47" s="105">
        <f t="shared" si="3"/>
        <v>6.2629389769922411E-2</v>
      </c>
      <c r="F47" s="105">
        <f t="shared" si="4"/>
        <v>0.88000000000000045</v>
      </c>
      <c r="G47" s="105">
        <f t="shared" si="6"/>
        <v>0.14699999999999991</v>
      </c>
      <c r="H47" s="105">
        <f t="shared" si="5"/>
        <v>0.11330576495754652</v>
      </c>
      <c r="J47" s="106"/>
      <c r="R47" s="124"/>
      <c r="S47" s="106"/>
    </row>
    <row r="48" spans="2:19" ht="15" customHeight="1">
      <c r="B48" s="105">
        <f t="shared" si="1"/>
        <v>0.90000000000000047</v>
      </c>
      <c r="C48" s="105">
        <f t="shared" si="2"/>
        <v>5.879999999999997E-2</v>
      </c>
      <c r="D48" s="105">
        <f t="shared" si="3"/>
        <v>6.2629389769922425E-2</v>
      </c>
      <c r="F48" s="105">
        <f t="shared" si="4"/>
        <v>0.90000000000000047</v>
      </c>
      <c r="G48" s="105">
        <f t="shared" si="6"/>
        <v>0.14373333333333324</v>
      </c>
      <c r="H48" s="105">
        <f t="shared" si="5"/>
        <v>0.11330576495754653</v>
      </c>
      <c r="J48" s="106"/>
      <c r="R48" s="124"/>
      <c r="S48" s="106"/>
    </row>
    <row r="49" spans="2:19" ht="15" customHeight="1">
      <c r="B49" s="105">
        <f t="shared" si="1"/>
        <v>0.92000000000000048</v>
      </c>
      <c r="C49" s="105">
        <f t="shared" si="2"/>
        <v>5.7521739130434756E-2</v>
      </c>
      <c r="D49" s="105">
        <f t="shared" si="3"/>
        <v>6.2629389769922425E-2</v>
      </c>
      <c r="F49" s="105">
        <f t="shared" si="4"/>
        <v>0.92000000000000048</v>
      </c>
      <c r="G49" s="105">
        <f t="shared" si="6"/>
        <v>0.14060869565217382</v>
      </c>
      <c r="H49" s="105">
        <f t="shared" si="5"/>
        <v>0.11330576495754653</v>
      </c>
      <c r="J49" s="106"/>
      <c r="R49" s="124"/>
      <c r="S49" s="106"/>
    </row>
    <row r="50" spans="2:19" ht="15" customHeight="1">
      <c r="B50" s="105">
        <f t="shared" si="1"/>
        <v>0.9400000000000005</v>
      </c>
      <c r="C50" s="105">
        <f t="shared" si="2"/>
        <v>5.6297872340425506E-2</v>
      </c>
      <c r="D50" s="105">
        <f t="shared" si="3"/>
        <v>6.2629389769922425E-2</v>
      </c>
      <c r="F50" s="105">
        <f t="shared" si="4"/>
        <v>0.9400000000000005</v>
      </c>
      <c r="G50" s="105">
        <f t="shared" si="6"/>
        <v>0.13761702127659564</v>
      </c>
      <c r="H50" s="105">
        <f t="shared" si="5"/>
        <v>0.11330576495754652</v>
      </c>
      <c r="J50" s="106"/>
      <c r="R50" s="124"/>
      <c r="S50" s="106"/>
    </row>
    <row r="51" spans="2:19" ht="15" customHeight="1">
      <c r="B51" s="105">
        <f t="shared" si="1"/>
        <v>0.96000000000000052</v>
      </c>
      <c r="C51" s="105">
        <f t="shared" si="2"/>
        <v>5.5124999999999973E-2</v>
      </c>
      <c r="D51" s="105">
        <f t="shared" si="3"/>
        <v>6.2629389769922411E-2</v>
      </c>
      <c r="F51" s="105">
        <f t="shared" si="4"/>
        <v>0.96000000000000052</v>
      </c>
      <c r="G51" s="105">
        <f t="shared" si="6"/>
        <v>0.1347499999999999</v>
      </c>
      <c r="H51" s="105">
        <f t="shared" si="5"/>
        <v>0.1133057649575465</v>
      </c>
      <c r="J51" s="106"/>
      <c r="R51" s="124"/>
      <c r="S51" s="106"/>
    </row>
    <row r="52" spans="2:19" ht="15" customHeight="1">
      <c r="B52" s="105">
        <f t="shared" si="1"/>
        <v>0.98000000000000054</v>
      </c>
      <c r="C52" s="105">
        <f t="shared" si="2"/>
        <v>5.3999999999999972E-2</v>
      </c>
      <c r="D52" s="105">
        <f t="shared" si="3"/>
        <v>6.2629389769922425E-2</v>
      </c>
      <c r="F52" s="105">
        <f t="shared" si="4"/>
        <v>0.98000000000000054</v>
      </c>
      <c r="G52" s="105">
        <f t="shared" si="6"/>
        <v>0.1319999999999999</v>
      </c>
      <c r="H52" s="105">
        <f t="shared" si="5"/>
        <v>0.11330576495754652</v>
      </c>
      <c r="J52" s="106"/>
      <c r="R52" s="124"/>
      <c r="S52" s="106"/>
    </row>
    <row r="53" spans="2:19" ht="15" customHeight="1">
      <c r="B53" s="105">
        <f t="shared" si="1"/>
        <v>1.0000000000000004</v>
      </c>
      <c r="C53" s="105">
        <f t="shared" si="2"/>
        <v>5.2919999999999981E-2</v>
      </c>
      <c r="D53" s="105">
        <f t="shared" si="3"/>
        <v>6.2629389769922425E-2</v>
      </c>
      <c r="F53" s="105">
        <f t="shared" si="4"/>
        <v>1.0000000000000004</v>
      </c>
      <c r="G53" s="105">
        <f t="shared" si="6"/>
        <v>0.12935999999999992</v>
      </c>
      <c r="H53" s="105">
        <f t="shared" si="5"/>
        <v>0.1133057649575465</v>
      </c>
      <c r="J53" s="106"/>
      <c r="R53" s="124"/>
      <c r="S53" s="106"/>
    </row>
    <row r="54" spans="2:19" ht="15" customHeight="1">
      <c r="B54" s="105">
        <f t="shared" si="1"/>
        <v>1.0200000000000005</v>
      </c>
      <c r="C54" s="105">
        <f t="shared" si="2"/>
        <v>5.1882352941176449E-2</v>
      </c>
      <c r="D54" s="105">
        <f t="shared" si="3"/>
        <v>6.2629389769922411E-2</v>
      </c>
      <c r="F54" s="105">
        <f t="shared" si="4"/>
        <v>1.0200000000000005</v>
      </c>
      <c r="G54" s="105">
        <f t="shared" si="6"/>
        <v>0.12682352941176461</v>
      </c>
      <c r="H54" s="105">
        <f t="shared" si="5"/>
        <v>0.11330576495754652</v>
      </c>
      <c r="J54" s="106"/>
      <c r="R54" s="124"/>
      <c r="S54" s="106"/>
    </row>
    <row r="55" spans="2:19" ht="15" customHeight="1">
      <c r="B55" s="105">
        <f t="shared" si="1"/>
        <v>1.0400000000000005</v>
      </c>
      <c r="C55" s="105">
        <f t="shared" si="2"/>
        <v>5.0884615384615361E-2</v>
      </c>
      <c r="D55" s="105">
        <f t="shared" si="3"/>
        <v>6.2629389769922411E-2</v>
      </c>
      <c r="F55" s="105">
        <f t="shared" si="4"/>
        <v>1.0400000000000005</v>
      </c>
      <c r="G55" s="105">
        <f t="shared" si="6"/>
        <v>0.1243846153846153</v>
      </c>
      <c r="H55" s="105">
        <f t="shared" si="5"/>
        <v>0.11330576495754652</v>
      </c>
      <c r="J55" s="106"/>
      <c r="R55" s="124"/>
      <c r="S55" s="106"/>
    </row>
    <row r="56" spans="2:19" ht="15" customHeight="1">
      <c r="B56" s="105">
        <f t="shared" si="1"/>
        <v>1.0600000000000005</v>
      </c>
      <c r="C56" s="105">
        <f t="shared" si="2"/>
        <v>4.9924528301886768E-2</v>
      </c>
      <c r="D56" s="105">
        <f t="shared" si="3"/>
        <v>6.2629389769922411E-2</v>
      </c>
      <c r="F56" s="105">
        <f t="shared" si="4"/>
        <v>1.0600000000000005</v>
      </c>
      <c r="G56" s="105">
        <f t="shared" si="6"/>
        <v>0.12203773584905653</v>
      </c>
      <c r="H56" s="105">
        <f t="shared" si="5"/>
        <v>0.11330576495754653</v>
      </c>
      <c r="J56" s="106"/>
      <c r="R56" s="124"/>
      <c r="S56" s="106"/>
    </row>
    <row r="57" spans="2:19" ht="15" customHeight="1">
      <c r="B57" s="105">
        <f t="shared" si="1"/>
        <v>1.0800000000000005</v>
      </c>
      <c r="C57" s="105">
        <f t="shared" si="2"/>
        <v>4.8999999999999981E-2</v>
      </c>
      <c r="D57" s="105">
        <f t="shared" si="3"/>
        <v>6.2629389769922425E-2</v>
      </c>
      <c r="F57" s="105">
        <f t="shared" si="4"/>
        <v>1.0800000000000005</v>
      </c>
      <c r="G57" s="105">
        <f t="shared" si="6"/>
        <v>0.11977777777777769</v>
      </c>
      <c r="H57" s="105">
        <f t="shared" si="5"/>
        <v>0.11330576495754653</v>
      </c>
      <c r="J57" s="106"/>
      <c r="R57" s="124"/>
      <c r="S57" s="106"/>
    </row>
    <row r="58" spans="2:19" ht="15" customHeight="1">
      <c r="B58" s="105">
        <f t="shared" si="1"/>
        <v>1.1000000000000005</v>
      </c>
      <c r="C58" s="105">
        <f t="shared" si="2"/>
        <v>4.8109090909090886E-2</v>
      </c>
      <c r="D58" s="105">
        <f t="shared" si="3"/>
        <v>6.2629389769922425E-2</v>
      </c>
      <c r="F58" s="105">
        <f t="shared" si="4"/>
        <v>1.1000000000000005</v>
      </c>
      <c r="G58" s="105">
        <f t="shared" si="6"/>
        <v>0.11759999999999993</v>
      </c>
      <c r="H58" s="105">
        <f t="shared" si="5"/>
        <v>0.11330576495754653</v>
      </c>
      <c r="J58" s="106"/>
      <c r="R58" s="124"/>
      <c r="S58" s="106"/>
    </row>
    <row r="59" spans="2:19" ht="15" customHeight="1">
      <c r="B59" s="105">
        <f t="shared" si="1"/>
        <v>1.1200000000000006</v>
      </c>
      <c r="C59" s="105">
        <f t="shared" si="2"/>
        <v>4.724999999999998E-2</v>
      </c>
      <c r="D59" s="105">
        <f t="shared" si="3"/>
        <v>6.2629389769922425E-2</v>
      </c>
      <c r="F59" s="105">
        <f t="shared" si="4"/>
        <v>1.1200000000000006</v>
      </c>
      <c r="G59" s="105">
        <f t="shared" si="6"/>
        <v>0.11549999999999992</v>
      </c>
      <c r="H59" s="105">
        <f t="shared" si="5"/>
        <v>0.11330576495754652</v>
      </c>
      <c r="J59" s="106"/>
      <c r="K59" s="101" t="s">
        <v>550</v>
      </c>
      <c r="R59" s="124"/>
      <c r="S59" s="106"/>
    </row>
    <row r="60" spans="2:19" ht="15" customHeight="1">
      <c r="B60" s="105">
        <f t="shared" si="1"/>
        <v>1.1400000000000006</v>
      </c>
      <c r="C60" s="105">
        <f t="shared" si="2"/>
        <v>4.6421052631578925E-2</v>
      </c>
      <c r="D60" s="105">
        <f t="shared" si="3"/>
        <v>6.2629389769922425E-2</v>
      </c>
      <c r="F60" s="105">
        <f t="shared" si="4"/>
        <v>1.1400000000000006</v>
      </c>
      <c r="G60" s="105">
        <f t="shared" si="6"/>
        <v>0.11347368421052624</v>
      </c>
      <c r="H60" s="105">
        <f t="shared" si="5"/>
        <v>0.11330576495754653</v>
      </c>
      <c r="J60" s="106"/>
      <c r="K60" s="101" t="s">
        <v>551</v>
      </c>
      <c r="R60" s="124"/>
      <c r="S60" s="106"/>
    </row>
    <row r="61" spans="2:19" ht="15" customHeight="1">
      <c r="B61" s="105">
        <f t="shared" si="1"/>
        <v>1.1600000000000006</v>
      </c>
      <c r="C61" s="105">
        <f t="shared" si="2"/>
        <v>4.5620689655172394E-2</v>
      </c>
      <c r="D61" s="105">
        <f t="shared" si="3"/>
        <v>6.2629389769922425E-2</v>
      </c>
      <c r="F61" s="105">
        <f t="shared" si="4"/>
        <v>1.1600000000000006</v>
      </c>
      <c r="G61" s="105">
        <f t="shared" si="6"/>
        <v>0.11151724137931027</v>
      </c>
      <c r="H61" s="105">
        <f t="shared" si="5"/>
        <v>0.11330576495754653</v>
      </c>
      <c r="J61" s="106"/>
      <c r="K61" s="101" t="s">
        <v>578</v>
      </c>
      <c r="R61" s="124"/>
      <c r="S61" s="106"/>
    </row>
    <row r="62" spans="2:19" ht="15" customHeight="1">
      <c r="B62" s="105">
        <f t="shared" si="1"/>
        <v>1.1800000000000006</v>
      </c>
      <c r="C62" s="105">
        <f t="shared" si="2"/>
        <v>4.4847457627118621E-2</v>
      </c>
      <c r="D62" s="105">
        <f t="shared" si="3"/>
        <v>6.2629389769922411E-2</v>
      </c>
      <c r="F62" s="105">
        <f t="shared" si="4"/>
        <v>1.1800000000000006</v>
      </c>
      <c r="G62" s="105">
        <f t="shared" si="6"/>
        <v>0.10962711864406773</v>
      </c>
      <c r="H62" s="105">
        <f t="shared" si="5"/>
        <v>0.11330576495754652</v>
      </c>
      <c r="J62" s="106"/>
      <c r="K62" s="101" t="s">
        <v>569</v>
      </c>
      <c r="R62" s="124"/>
      <c r="S62" s="106"/>
    </row>
    <row r="63" spans="2:19" ht="15" customHeight="1">
      <c r="B63" s="105">
        <f t="shared" si="1"/>
        <v>1.2000000000000006</v>
      </c>
      <c r="C63" s="105">
        <f t="shared" si="2"/>
        <v>4.4099999999999979E-2</v>
      </c>
      <c r="D63" s="105">
        <f t="shared" si="3"/>
        <v>6.2629389769922411E-2</v>
      </c>
      <c r="F63" s="105">
        <f t="shared" si="4"/>
        <v>1.2000000000000006</v>
      </c>
      <c r="G63" s="105">
        <f t="shared" si="6"/>
        <v>0.10779999999999992</v>
      </c>
      <c r="H63" s="105">
        <f t="shared" si="5"/>
        <v>0.11330576495754652</v>
      </c>
      <c r="J63" s="106"/>
      <c r="K63" s="101" t="s">
        <v>552</v>
      </c>
      <c r="R63" s="124"/>
      <c r="S63" s="106"/>
    </row>
    <row r="64" spans="2:19" ht="15" customHeight="1">
      <c r="B64" s="105">
        <f t="shared" si="1"/>
        <v>1.2200000000000006</v>
      </c>
      <c r="C64" s="105">
        <f t="shared" si="2"/>
        <v>4.3377049180327851E-2</v>
      </c>
      <c r="D64" s="105">
        <f t="shared" si="3"/>
        <v>6.2629389769922425E-2</v>
      </c>
      <c r="F64" s="105">
        <f t="shared" si="4"/>
        <v>1.2200000000000006</v>
      </c>
      <c r="G64" s="105">
        <f t="shared" si="6"/>
        <v>0.10603278688524582</v>
      </c>
      <c r="H64" s="105">
        <f t="shared" si="5"/>
        <v>0.1133057649575465</v>
      </c>
      <c r="J64" s="106"/>
      <c r="K64" s="101" t="s">
        <v>553</v>
      </c>
      <c r="R64" s="124"/>
      <c r="S64" s="106"/>
    </row>
    <row r="65" spans="2:19" ht="15" customHeight="1">
      <c r="B65" s="105">
        <f t="shared" si="1"/>
        <v>1.2400000000000007</v>
      </c>
      <c r="C65" s="105">
        <f t="shared" si="2"/>
        <v>4.2677419354838687E-2</v>
      </c>
      <c r="D65" s="105">
        <f t="shared" si="3"/>
        <v>6.2629389769922411E-2</v>
      </c>
      <c r="F65" s="105">
        <f t="shared" si="4"/>
        <v>1.2400000000000007</v>
      </c>
      <c r="G65" s="105">
        <f t="shared" si="6"/>
        <v>0.10432258064516121</v>
      </c>
      <c r="H65" s="105">
        <f t="shared" si="5"/>
        <v>0.11330576495754652</v>
      </c>
      <c r="J65" s="106"/>
      <c r="K65" s="101" t="s">
        <v>567</v>
      </c>
      <c r="R65" s="124"/>
      <c r="S65" s="106"/>
    </row>
    <row r="66" spans="2:19" ht="15" customHeight="1">
      <c r="B66" s="105">
        <f t="shared" si="1"/>
        <v>1.2600000000000007</v>
      </c>
      <c r="C66" s="105">
        <f t="shared" si="2"/>
        <v>4.1999999999999982E-2</v>
      </c>
      <c r="D66" s="105">
        <f t="shared" si="3"/>
        <v>6.2629389769922425E-2</v>
      </c>
      <c r="F66" s="105">
        <f t="shared" si="4"/>
        <v>1.2600000000000007</v>
      </c>
      <c r="G66" s="105">
        <f t="shared" si="6"/>
        <v>0.10266666666666659</v>
      </c>
      <c r="H66" s="105">
        <f t="shared" si="5"/>
        <v>0.1133057649575465</v>
      </c>
      <c r="J66" s="106"/>
      <c r="K66" s="101" t="s">
        <v>570</v>
      </c>
      <c r="R66" s="124"/>
      <c r="S66" s="106"/>
    </row>
    <row r="67" spans="2:19" ht="15" customHeight="1">
      <c r="B67" s="105">
        <f t="shared" si="1"/>
        <v>1.2800000000000007</v>
      </c>
      <c r="C67" s="105">
        <f t="shared" si="2"/>
        <v>4.1343749999999978E-2</v>
      </c>
      <c r="D67" s="105">
        <f t="shared" si="3"/>
        <v>6.2629389769922411E-2</v>
      </c>
      <c r="F67" s="105">
        <f t="shared" si="4"/>
        <v>1.2800000000000007</v>
      </c>
      <c r="G67" s="105">
        <f t="shared" si="6"/>
        <v>0.10106249999999993</v>
      </c>
      <c r="H67" s="105">
        <f t="shared" si="5"/>
        <v>0.11330576495754653</v>
      </c>
      <c r="J67" s="106"/>
      <c r="K67" s="101" t="s">
        <v>568</v>
      </c>
      <c r="R67" s="124"/>
      <c r="S67" s="106"/>
    </row>
    <row r="68" spans="2:19" ht="15" customHeight="1">
      <c r="B68" s="105">
        <f t="shared" ref="B68:B131" si="7">B67+0.02</f>
        <v>1.3000000000000007</v>
      </c>
      <c r="C68" s="105">
        <f t="shared" ref="C68:C131" si="8">IF(B68=0,M72,IF(AND(B68&gt;0,B68&lt;=$M$9),$M$7+(($M$8-$M$7)/($M$9-$B$3)*(B68-$B$3)),IF(AND(B68&gt;$M$9,B68&lt;=$M$10),$M$8,IF(AND(B68&gt;$M$10,B68&lt;=$M$11),$M$12/B68,IF(B68&gt;$M$11,$M$13/B68^2)))))</f>
        <v>4.0707692307692285E-2</v>
      </c>
      <c r="D68" s="105">
        <f t="shared" ref="D68:D131" si="9">(B68/(2*PI()))*(C68*9.81)*$M$15</f>
        <v>6.2629389769922411E-2</v>
      </c>
      <c r="F68" s="105">
        <f t="shared" ref="F68:F131" si="10">F67+0.02</f>
        <v>1.3000000000000007</v>
      </c>
      <c r="G68" s="105">
        <f t="shared" si="6"/>
        <v>9.9507692307692228E-2</v>
      </c>
      <c r="H68" s="105">
        <f t="shared" ref="H68:H131" si="11">(F68/(2*PI()))*(G68*9.81)*$P$15</f>
        <v>0.11330576495754652</v>
      </c>
      <c r="J68" s="106"/>
      <c r="K68" s="101" t="s">
        <v>577</v>
      </c>
      <c r="R68" s="124"/>
      <c r="S68" s="106"/>
    </row>
    <row r="69" spans="2:19" ht="15" customHeight="1">
      <c r="B69" s="105">
        <f t="shared" si="7"/>
        <v>1.3200000000000007</v>
      </c>
      <c r="C69" s="105">
        <f t="shared" si="8"/>
        <v>4.0090909090909073E-2</v>
      </c>
      <c r="D69" s="105">
        <f t="shared" si="9"/>
        <v>6.2629389769922425E-2</v>
      </c>
      <c r="F69" s="105">
        <f t="shared" si="10"/>
        <v>1.3200000000000007</v>
      </c>
      <c r="G69" s="105">
        <f t="shared" si="6"/>
        <v>9.7999999999999921E-2</v>
      </c>
      <c r="H69" s="105">
        <f t="shared" si="11"/>
        <v>0.11330576495754652</v>
      </c>
      <c r="J69" s="106"/>
      <c r="K69" s="101" t="s">
        <v>576</v>
      </c>
      <c r="R69" s="124"/>
      <c r="S69" s="106"/>
    </row>
    <row r="70" spans="2:19" ht="15" customHeight="1">
      <c r="B70" s="105">
        <f t="shared" si="7"/>
        <v>1.3400000000000007</v>
      </c>
      <c r="C70" s="105">
        <f t="shared" si="8"/>
        <v>3.9492537313432816E-2</v>
      </c>
      <c r="D70" s="105">
        <f t="shared" si="9"/>
        <v>6.2629389769922411E-2</v>
      </c>
      <c r="F70" s="105">
        <f t="shared" si="10"/>
        <v>1.3400000000000007</v>
      </c>
      <c r="G70" s="105">
        <f t="shared" si="6"/>
        <v>9.6537313432835753E-2</v>
      </c>
      <c r="H70" s="105">
        <f t="shared" si="11"/>
        <v>0.11330576495754652</v>
      </c>
      <c r="J70" s="106"/>
      <c r="R70" s="124"/>
      <c r="S70" s="106"/>
    </row>
    <row r="71" spans="2:19" ht="15" customHeight="1">
      <c r="B71" s="105">
        <f t="shared" si="7"/>
        <v>1.3600000000000008</v>
      </c>
      <c r="C71" s="105">
        <f t="shared" si="8"/>
        <v>3.8911764705882333E-2</v>
      </c>
      <c r="D71" s="105">
        <f t="shared" si="9"/>
        <v>6.2629389769922425E-2</v>
      </c>
      <c r="F71" s="105">
        <f t="shared" si="10"/>
        <v>1.3600000000000008</v>
      </c>
      <c r="G71" s="105">
        <f t="shared" si="6"/>
        <v>9.511764705882346E-2</v>
      </c>
      <c r="H71" s="105">
        <f t="shared" si="11"/>
        <v>0.11330576495754652</v>
      </c>
      <c r="J71" s="106"/>
      <c r="K71" s="101" t="s">
        <v>584</v>
      </c>
      <c r="R71" s="124"/>
      <c r="S71" s="106"/>
    </row>
    <row r="72" spans="2:19" ht="15" customHeight="1">
      <c r="B72" s="105">
        <f t="shared" si="7"/>
        <v>1.3800000000000008</v>
      </c>
      <c r="C72" s="105">
        <f t="shared" si="8"/>
        <v>3.8347826086956499E-2</v>
      </c>
      <c r="D72" s="105">
        <f t="shared" si="9"/>
        <v>6.2629389769922411E-2</v>
      </c>
      <c r="F72" s="105">
        <f t="shared" si="10"/>
        <v>1.3800000000000008</v>
      </c>
      <c r="G72" s="105">
        <f t="shared" si="6"/>
        <v>9.3739130434782533E-2</v>
      </c>
      <c r="H72" s="105">
        <f t="shared" si="11"/>
        <v>0.11330576495754652</v>
      </c>
      <c r="J72" s="106"/>
      <c r="K72" s="101" t="s">
        <v>585</v>
      </c>
      <c r="R72" s="124"/>
      <c r="S72" s="106"/>
    </row>
    <row r="73" spans="2:19" ht="15" customHeight="1">
      <c r="B73" s="105">
        <f t="shared" si="7"/>
        <v>1.4000000000000008</v>
      </c>
      <c r="C73" s="105">
        <f t="shared" si="8"/>
        <v>3.7799999999999979E-2</v>
      </c>
      <c r="D73" s="105">
        <f t="shared" si="9"/>
        <v>6.2629389769922425E-2</v>
      </c>
      <c r="F73" s="105">
        <f t="shared" si="10"/>
        <v>1.4000000000000008</v>
      </c>
      <c r="G73" s="105">
        <f t="shared" si="6"/>
        <v>9.2399999999999927E-2</v>
      </c>
      <c r="H73" s="105">
        <f t="shared" si="11"/>
        <v>0.11330576495754652</v>
      </c>
      <c r="J73" s="106"/>
      <c r="K73" s="101" t="s">
        <v>586</v>
      </c>
      <c r="R73" s="124"/>
      <c r="S73" s="106"/>
    </row>
    <row r="74" spans="2:19" ht="15" customHeight="1">
      <c r="B74" s="105">
        <f t="shared" si="7"/>
        <v>1.4200000000000008</v>
      </c>
      <c r="C74" s="105">
        <f t="shared" si="8"/>
        <v>3.7267605633802797E-2</v>
      </c>
      <c r="D74" s="105">
        <f t="shared" si="9"/>
        <v>6.2629389769922425E-2</v>
      </c>
      <c r="F74" s="105">
        <f t="shared" si="10"/>
        <v>1.4200000000000008</v>
      </c>
      <c r="G74" s="105">
        <f t="shared" ref="G74:G137" si="12">IF(F74=0,T89,IF(AND(F74&gt;0,F74&lt;=$P$9),$P$7+(($P$8-$P$7)/($P$9-$F$3)*(F74-$F$3)),IF(AND(F74&gt;$P$9,F74&lt;=$P$10),$P$8,IF(AND(F74&gt;$P$10,F74&lt;=$P$11),$P$12/F74,IF(F74&gt;$P$11,$P$13/F74^2)))))</f>
        <v>9.1098591549295699E-2</v>
      </c>
      <c r="H74" s="105">
        <f t="shared" si="11"/>
        <v>0.11330576495754652</v>
      </c>
      <c r="J74" s="106"/>
      <c r="K74" s="101" t="s">
        <v>587</v>
      </c>
      <c r="R74" s="124"/>
      <c r="S74" s="106"/>
    </row>
    <row r="75" spans="2:19" ht="15" customHeight="1">
      <c r="B75" s="105">
        <f t="shared" si="7"/>
        <v>1.4400000000000008</v>
      </c>
      <c r="C75" s="105">
        <f t="shared" si="8"/>
        <v>3.6749999999999977E-2</v>
      </c>
      <c r="D75" s="105">
        <f t="shared" si="9"/>
        <v>6.2629389769922411E-2</v>
      </c>
      <c r="F75" s="105">
        <f t="shared" si="10"/>
        <v>1.4400000000000008</v>
      </c>
      <c r="G75" s="105">
        <f t="shared" si="12"/>
        <v>8.9833333333333265E-2</v>
      </c>
      <c r="H75" s="105">
        <f t="shared" si="11"/>
        <v>0.11330576495754653</v>
      </c>
      <c r="J75" s="106"/>
      <c r="R75" s="124"/>
      <c r="S75" s="106"/>
    </row>
    <row r="76" spans="2:19" ht="15" customHeight="1">
      <c r="B76" s="105">
        <f t="shared" si="7"/>
        <v>1.4600000000000009</v>
      </c>
      <c r="C76" s="105">
        <f t="shared" si="8"/>
        <v>3.6246575342465732E-2</v>
      </c>
      <c r="D76" s="105">
        <f t="shared" si="9"/>
        <v>6.2629389769922425E-2</v>
      </c>
      <c r="F76" s="105">
        <f t="shared" si="10"/>
        <v>1.4600000000000009</v>
      </c>
      <c r="G76" s="105">
        <f t="shared" si="12"/>
        <v>8.8602739726027335E-2</v>
      </c>
      <c r="H76" s="105">
        <f t="shared" si="11"/>
        <v>0.11330576495754653</v>
      </c>
      <c r="J76" s="106"/>
      <c r="R76" s="124"/>
      <c r="S76" s="106"/>
    </row>
    <row r="77" spans="2:19" ht="15" customHeight="1">
      <c r="B77" s="105">
        <f t="shared" si="7"/>
        <v>1.4800000000000009</v>
      </c>
      <c r="C77" s="105">
        <f t="shared" si="8"/>
        <v>3.5756756756756734E-2</v>
      </c>
      <c r="D77" s="105">
        <f t="shared" si="9"/>
        <v>6.2629389769922411E-2</v>
      </c>
      <c r="F77" s="105">
        <f t="shared" si="10"/>
        <v>1.4800000000000009</v>
      </c>
      <c r="G77" s="105">
        <f t="shared" si="12"/>
        <v>8.740540540540534E-2</v>
      </c>
      <c r="H77" s="105">
        <f t="shared" si="11"/>
        <v>0.11330576495754653</v>
      </c>
      <c r="J77" s="106"/>
      <c r="R77" s="124"/>
      <c r="S77" s="106"/>
    </row>
    <row r="78" spans="2:19" ht="15" customHeight="1">
      <c r="B78" s="105">
        <f t="shared" si="7"/>
        <v>1.5000000000000009</v>
      </c>
      <c r="C78" s="105">
        <f t="shared" si="8"/>
        <v>3.5279999999999978E-2</v>
      </c>
      <c r="D78" s="105">
        <f t="shared" si="9"/>
        <v>6.2629389769922411E-2</v>
      </c>
      <c r="F78" s="105">
        <f t="shared" si="10"/>
        <v>1.5000000000000009</v>
      </c>
      <c r="G78" s="105">
        <f t="shared" si="12"/>
        <v>8.6239999999999928E-2</v>
      </c>
      <c r="H78" s="105">
        <f t="shared" si="11"/>
        <v>0.11330576495754652</v>
      </c>
      <c r="J78" s="106"/>
      <c r="R78" s="124"/>
      <c r="S78" s="106"/>
    </row>
    <row r="79" spans="2:19" ht="15" customHeight="1">
      <c r="B79" s="105">
        <f t="shared" si="7"/>
        <v>1.5200000000000009</v>
      </c>
      <c r="C79" s="105">
        <f t="shared" si="8"/>
        <v>3.4815789473684189E-2</v>
      </c>
      <c r="D79" s="105">
        <f t="shared" si="9"/>
        <v>6.2629389769922411E-2</v>
      </c>
      <c r="F79" s="105">
        <f t="shared" si="10"/>
        <v>1.5200000000000009</v>
      </c>
      <c r="G79" s="105">
        <f t="shared" si="12"/>
        <v>8.510526315789467E-2</v>
      </c>
      <c r="H79" s="105">
        <f t="shared" si="11"/>
        <v>0.11330576495754652</v>
      </c>
      <c r="J79" s="106"/>
      <c r="R79" s="124"/>
      <c r="S79" s="106"/>
    </row>
    <row r="80" spans="2:19" ht="15" customHeight="1">
      <c r="B80" s="105">
        <f t="shared" si="7"/>
        <v>1.5400000000000009</v>
      </c>
      <c r="C80" s="105">
        <f t="shared" si="8"/>
        <v>3.4363636363636346E-2</v>
      </c>
      <c r="D80" s="105">
        <f t="shared" si="9"/>
        <v>6.2629389769922425E-2</v>
      </c>
      <c r="F80" s="105">
        <f t="shared" si="10"/>
        <v>1.5400000000000009</v>
      </c>
      <c r="G80" s="105">
        <f t="shared" si="12"/>
        <v>8.3999999999999936E-2</v>
      </c>
      <c r="H80" s="105">
        <f t="shared" si="11"/>
        <v>0.11330576495754653</v>
      </c>
      <c r="J80" s="106"/>
      <c r="R80" s="124"/>
      <c r="S80" s="106"/>
    </row>
    <row r="81" spans="2:19" ht="15" customHeight="1">
      <c r="B81" s="105">
        <f t="shared" si="7"/>
        <v>1.5600000000000009</v>
      </c>
      <c r="C81" s="105">
        <f t="shared" si="8"/>
        <v>3.3923076923076903E-2</v>
      </c>
      <c r="D81" s="105">
        <f t="shared" si="9"/>
        <v>6.2629389769922411E-2</v>
      </c>
      <c r="F81" s="105">
        <f t="shared" si="10"/>
        <v>1.5600000000000009</v>
      </c>
      <c r="G81" s="105">
        <f t="shared" si="12"/>
        <v>8.2923076923076863E-2</v>
      </c>
      <c r="H81" s="105">
        <f t="shared" si="11"/>
        <v>0.11330576495754652</v>
      </c>
      <c r="J81" s="106"/>
      <c r="R81" s="124"/>
      <c r="S81" s="106"/>
    </row>
    <row r="82" spans="2:19" ht="15" customHeight="1">
      <c r="B82" s="105">
        <f t="shared" si="7"/>
        <v>1.580000000000001</v>
      </c>
      <c r="C82" s="105">
        <f t="shared" si="8"/>
        <v>3.3493670886075931E-2</v>
      </c>
      <c r="D82" s="105">
        <f t="shared" si="9"/>
        <v>6.2629389769922425E-2</v>
      </c>
      <c r="F82" s="105">
        <f t="shared" si="10"/>
        <v>1.580000000000001</v>
      </c>
      <c r="G82" s="105">
        <f t="shared" si="12"/>
        <v>8.1873417721518918E-2</v>
      </c>
      <c r="H82" s="105">
        <f t="shared" si="11"/>
        <v>0.11330576495754652</v>
      </c>
      <c r="J82" s="106"/>
      <c r="R82" s="124"/>
      <c r="S82" s="106"/>
    </row>
    <row r="83" spans="2:19" ht="15" customHeight="1">
      <c r="B83" s="105">
        <f t="shared" si="7"/>
        <v>1.600000000000001</v>
      </c>
      <c r="C83" s="105">
        <f t="shared" si="8"/>
        <v>3.3074999999999979E-2</v>
      </c>
      <c r="D83" s="105">
        <f t="shared" si="9"/>
        <v>6.2629389769922425E-2</v>
      </c>
      <c r="F83" s="105">
        <f t="shared" si="10"/>
        <v>1.600000000000001</v>
      </c>
      <c r="G83" s="105">
        <f t="shared" si="12"/>
        <v>8.0849999999999936E-2</v>
      </c>
      <c r="H83" s="105">
        <f t="shared" si="11"/>
        <v>0.11330576495754653</v>
      </c>
      <c r="J83" s="106"/>
      <c r="R83" s="124"/>
      <c r="S83" s="106"/>
    </row>
    <row r="84" spans="2:19" ht="15" customHeight="1">
      <c r="B84" s="105">
        <f t="shared" si="7"/>
        <v>1.620000000000001</v>
      </c>
      <c r="C84" s="105">
        <f t="shared" si="8"/>
        <v>3.2666666666666649E-2</v>
      </c>
      <c r="D84" s="105">
        <f t="shared" si="9"/>
        <v>6.2629389769922439E-2</v>
      </c>
      <c r="F84" s="105">
        <f t="shared" si="10"/>
        <v>1.620000000000001</v>
      </c>
      <c r="G84" s="105">
        <f t="shared" si="12"/>
        <v>7.9851851851851785E-2</v>
      </c>
      <c r="H84" s="105">
        <f t="shared" si="11"/>
        <v>0.11330576495754653</v>
      </c>
      <c r="J84" s="106"/>
      <c r="R84" s="124"/>
      <c r="S84" s="106"/>
    </row>
    <row r="85" spans="2:19" ht="15" customHeight="1">
      <c r="B85" s="105">
        <f t="shared" si="7"/>
        <v>1.640000000000001</v>
      </c>
      <c r="C85" s="105">
        <f t="shared" si="8"/>
        <v>3.2268292682926809E-2</v>
      </c>
      <c r="D85" s="105">
        <f t="shared" si="9"/>
        <v>6.2629389769922411E-2</v>
      </c>
      <c r="F85" s="105">
        <f t="shared" si="10"/>
        <v>1.640000000000001</v>
      </c>
      <c r="G85" s="105">
        <f t="shared" si="12"/>
        <v>7.8878048780487736E-2</v>
      </c>
      <c r="H85" s="105">
        <f t="shared" si="11"/>
        <v>0.11330576495754652</v>
      </c>
      <c r="J85" s="106"/>
      <c r="R85" s="124"/>
      <c r="S85" s="106"/>
    </row>
    <row r="86" spans="2:19" ht="15" customHeight="1">
      <c r="B86" s="105">
        <f t="shared" si="7"/>
        <v>1.660000000000001</v>
      </c>
      <c r="C86" s="105">
        <f t="shared" si="8"/>
        <v>3.1879518072289136E-2</v>
      </c>
      <c r="D86" s="105">
        <f t="shared" si="9"/>
        <v>6.2629389769922425E-2</v>
      </c>
      <c r="F86" s="105">
        <f t="shared" si="10"/>
        <v>1.660000000000001</v>
      </c>
      <c r="G86" s="105">
        <f t="shared" si="12"/>
        <v>7.7927710843373424E-2</v>
      </c>
      <c r="H86" s="105">
        <f t="shared" si="11"/>
        <v>0.11330576495754652</v>
      </c>
      <c r="J86" s="106"/>
      <c r="R86" s="124"/>
      <c r="S86" s="106"/>
    </row>
    <row r="87" spans="2:19" ht="15" customHeight="1">
      <c r="B87" s="105">
        <f t="shared" si="7"/>
        <v>1.680000000000001</v>
      </c>
      <c r="C87" s="105">
        <f t="shared" si="8"/>
        <v>3.1499999999999979E-2</v>
      </c>
      <c r="D87" s="105">
        <f t="shared" si="9"/>
        <v>6.2629389769922411E-2</v>
      </c>
      <c r="F87" s="105">
        <f t="shared" si="10"/>
        <v>1.680000000000001</v>
      </c>
      <c r="G87" s="105">
        <f t="shared" si="12"/>
        <v>7.6999999999999943E-2</v>
      </c>
      <c r="H87" s="105">
        <f t="shared" si="11"/>
        <v>0.11330576495754652</v>
      </c>
      <c r="J87" s="106"/>
      <c r="R87" s="124"/>
      <c r="S87" s="106"/>
    </row>
    <row r="88" spans="2:19" ht="15" customHeight="1">
      <c r="B88" s="105">
        <f t="shared" si="7"/>
        <v>1.7000000000000011</v>
      </c>
      <c r="C88" s="105">
        <f t="shared" si="8"/>
        <v>3.1129411764705864E-2</v>
      </c>
      <c r="D88" s="105">
        <f t="shared" si="9"/>
        <v>6.2629389769922425E-2</v>
      </c>
      <c r="F88" s="105">
        <f t="shared" si="10"/>
        <v>1.7000000000000011</v>
      </c>
      <c r="G88" s="105">
        <f t="shared" si="12"/>
        <v>7.6094117647058757E-2</v>
      </c>
      <c r="H88" s="105">
        <f t="shared" si="11"/>
        <v>0.11330576495754652</v>
      </c>
      <c r="J88" s="106"/>
      <c r="R88" s="124"/>
      <c r="S88" s="106"/>
    </row>
    <row r="89" spans="2:19" ht="15" customHeight="1">
      <c r="B89" s="105">
        <f t="shared" si="7"/>
        <v>1.7200000000000011</v>
      </c>
      <c r="C89" s="105">
        <f t="shared" si="8"/>
        <v>3.0767441860465098E-2</v>
      </c>
      <c r="D89" s="105">
        <f t="shared" si="9"/>
        <v>6.2629389769922425E-2</v>
      </c>
      <c r="F89" s="105">
        <f t="shared" si="10"/>
        <v>1.7200000000000011</v>
      </c>
      <c r="G89" s="105">
        <f t="shared" si="12"/>
        <v>7.5209302325581331E-2</v>
      </c>
      <c r="H89" s="105">
        <f t="shared" si="11"/>
        <v>0.11330576495754652</v>
      </c>
      <c r="J89" s="106"/>
      <c r="R89" s="124"/>
      <c r="S89" s="106"/>
    </row>
    <row r="90" spans="2:19" ht="15" customHeight="1">
      <c r="B90" s="105">
        <f t="shared" si="7"/>
        <v>1.7400000000000011</v>
      </c>
      <c r="C90" s="105">
        <f t="shared" si="8"/>
        <v>3.0413793103448258E-2</v>
      </c>
      <c r="D90" s="105">
        <f t="shared" si="9"/>
        <v>6.2629389769922411E-2</v>
      </c>
      <c r="F90" s="105">
        <f t="shared" si="10"/>
        <v>1.7400000000000011</v>
      </c>
      <c r="G90" s="105">
        <f t="shared" si="12"/>
        <v>7.4344827586206835E-2</v>
      </c>
      <c r="H90" s="105">
        <f t="shared" si="11"/>
        <v>0.11330576495754652</v>
      </c>
      <c r="J90" s="106"/>
      <c r="R90" s="124"/>
      <c r="S90" s="106"/>
    </row>
    <row r="91" spans="2:19" ht="15" customHeight="1">
      <c r="B91" s="105">
        <f t="shared" si="7"/>
        <v>1.7600000000000011</v>
      </c>
      <c r="C91" s="105">
        <f t="shared" si="8"/>
        <v>3.0068181818181799E-2</v>
      </c>
      <c r="D91" s="105">
        <f t="shared" si="9"/>
        <v>6.2629389769922425E-2</v>
      </c>
      <c r="F91" s="105">
        <f t="shared" si="10"/>
        <v>1.7600000000000011</v>
      </c>
      <c r="G91" s="105">
        <f t="shared" si="12"/>
        <v>7.349999999999994E-2</v>
      </c>
      <c r="H91" s="105">
        <f t="shared" si="11"/>
        <v>0.11330576495754652</v>
      </c>
      <c r="J91" s="106"/>
      <c r="R91" s="124"/>
      <c r="S91" s="106"/>
    </row>
    <row r="92" spans="2:19" ht="15" customHeight="1">
      <c r="B92" s="105">
        <f t="shared" si="7"/>
        <v>1.7800000000000011</v>
      </c>
      <c r="C92" s="105">
        <f t="shared" si="8"/>
        <v>2.9730337078651668E-2</v>
      </c>
      <c r="D92" s="105">
        <f t="shared" si="9"/>
        <v>6.2629389769922439E-2</v>
      </c>
      <c r="F92" s="105">
        <f t="shared" si="10"/>
        <v>1.7800000000000011</v>
      </c>
      <c r="G92" s="105">
        <f t="shared" si="12"/>
        <v>7.2674157303370721E-2</v>
      </c>
      <c r="H92" s="105">
        <f t="shared" si="11"/>
        <v>0.11330576495754653</v>
      </c>
      <c r="J92" s="106"/>
      <c r="R92" s="124"/>
      <c r="S92" s="106"/>
    </row>
    <row r="93" spans="2:19" ht="15" customHeight="1">
      <c r="B93" s="105">
        <f t="shared" si="7"/>
        <v>1.8000000000000012</v>
      </c>
      <c r="C93" s="105">
        <f t="shared" si="8"/>
        <v>2.9399999999999982E-2</v>
      </c>
      <c r="D93" s="105">
        <f t="shared" si="9"/>
        <v>6.2629389769922411E-2</v>
      </c>
      <c r="F93" s="105">
        <f t="shared" si="10"/>
        <v>1.8000000000000012</v>
      </c>
      <c r="G93" s="105">
        <f t="shared" si="12"/>
        <v>7.1866666666666607E-2</v>
      </c>
      <c r="H93" s="105">
        <f t="shared" si="11"/>
        <v>0.11330576495754652</v>
      </c>
      <c r="J93" s="106"/>
      <c r="R93" s="124"/>
      <c r="S93" s="106"/>
    </row>
    <row r="94" spans="2:19" ht="15" customHeight="1">
      <c r="B94" s="105">
        <f t="shared" si="7"/>
        <v>1.8200000000000012</v>
      </c>
      <c r="C94" s="105">
        <f t="shared" si="8"/>
        <v>2.9076923076923059E-2</v>
      </c>
      <c r="D94" s="105">
        <f t="shared" si="9"/>
        <v>6.2629389769922411E-2</v>
      </c>
      <c r="F94" s="105">
        <f t="shared" si="10"/>
        <v>1.8200000000000012</v>
      </c>
      <c r="G94" s="105">
        <f t="shared" si="12"/>
        <v>7.1076923076923024E-2</v>
      </c>
      <c r="H94" s="105">
        <f t="shared" si="11"/>
        <v>0.11330576495754653</v>
      </c>
      <c r="J94" s="106"/>
      <c r="R94" s="124"/>
      <c r="S94" s="106"/>
    </row>
    <row r="95" spans="2:19" ht="15" customHeight="1">
      <c r="B95" s="105">
        <f t="shared" si="7"/>
        <v>1.8400000000000012</v>
      </c>
      <c r="C95" s="105">
        <f t="shared" si="8"/>
        <v>2.8760869565217374E-2</v>
      </c>
      <c r="D95" s="105">
        <f t="shared" si="9"/>
        <v>6.2629389769922439E-2</v>
      </c>
      <c r="F95" s="105">
        <f t="shared" si="10"/>
        <v>1.8400000000000012</v>
      </c>
      <c r="G95" s="105">
        <f t="shared" si="12"/>
        <v>7.0304347826086896E-2</v>
      </c>
      <c r="H95" s="105">
        <f t="shared" si="11"/>
        <v>0.11330576495754653</v>
      </c>
      <c r="J95" s="106"/>
      <c r="R95" s="124"/>
      <c r="S95" s="106"/>
    </row>
    <row r="96" spans="2:19" ht="15" customHeight="1">
      <c r="B96" s="105">
        <f t="shared" si="7"/>
        <v>1.8600000000000012</v>
      </c>
      <c r="C96" s="105">
        <f t="shared" si="8"/>
        <v>2.845161290322579E-2</v>
      </c>
      <c r="D96" s="105">
        <f t="shared" si="9"/>
        <v>6.2629389769922411E-2</v>
      </c>
      <c r="F96" s="105">
        <f t="shared" si="10"/>
        <v>1.8600000000000012</v>
      </c>
      <c r="G96" s="105">
        <f t="shared" si="12"/>
        <v>6.9548387096774134E-2</v>
      </c>
      <c r="H96" s="105">
        <f t="shared" si="11"/>
        <v>0.11330576495754652</v>
      </c>
      <c r="J96" s="106"/>
      <c r="R96" s="124"/>
      <c r="S96" s="106"/>
    </row>
    <row r="97" spans="2:19" ht="15" customHeight="1">
      <c r="B97" s="105">
        <f t="shared" si="7"/>
        <v>1.8800000000000012</v>
      </c>
      <c r="C97" s="105">
        <f t="shared" si="8"/>
        <v>2.814893617021275E-2</v>
      </c>
      <c r="D97" s="105">
        <f t="shared" si="9"/>
        <v>6.2629389769922425E-2</v>
      </c>
      <c r="F97" s="105">
        <f t="shared" si="10"/>
        <v>1.8800000000000012</v>
      </c>
      <c r="G97" s="105">
        <f t="shared" si="12"/>
        <v>6.8808510638297821E-2</v>
      </c>
      <c r="H97" s="105">
        <f t="shared" si="11"/>
        <v>0.11330576495754653</v>
      </c>
      <c r="J97" s="106"/>
      <c r="R97" s="124"/>
      <c r="S97" s="106"/>
    </row>
    <row r="98" spans="2:19" ht="15" customHeight="1">
      <c r="B98" s="105">
        <f t="shared" si="7"/>
        <v>1.9000000000000012</v>
      </c>
      <c r="C98" s="105">
        <f t="shared" si="8"/>
        <v>2.7852631578947351E-2</v>
      </c>
      <c r="D98" s="105">
        <f t="shared" si="9"/>
        <v>6.2629389769922425E-2</v>
      </c>
      <c r="F98" s="105">
        <f t="shared" si="10"/>
        <v>1.9000000000000012</v>
      </c>
      <c r="G98" s="105">
        <f t="shared" si="12"/>
        <v>6.8084210526315733E-2</v>
      </c>
      <c r="H98" s="105">
        <f t="shared" si="11"/>
        <v>0.11330576495754652</v>
      </c>
      <c r="J98" s="106"/>
      <c r="R98" s="124"/>
      <c r="S98" s="106"/>
    </row>
    <row r="99" spans="2:19" ht="15" customHeight="1">
      <c r="B99" s="105">
        <f t="shared" si="7"/>
        <v>1.9200000000000013</v>
      </c>
      <c r="C99" s="105">
        <f t="shared" si="8"/>
        <v>2.7562499999999983E-2</v>
      </c>
      <c r="D99" s="105">
        <f t="shared" si="9"/>
        <v>6.2629389769922425E-2</v>
      </c>
      <c r="F99" s="105">
        <f t="shared" si="10"/>
        <v>1.9200000000000013</v>
      </c>
      <c r="G99" s="105">
        <f t="shared" si="12"/>
        <v>6.7374999999999949E-2</v>
      </c>
      <c r="H99" s="105">
        <f t="shared" si="11"/>
        <v>0.11330576495754653</v>
      </c>
      <c r="J99" s="106"/>
      <c r="R99" s="124"/>
      <c r="S99" s="106"/>
    </row>
    <row r="100" spans="2:19" ht="15" customHeight="1">
      <c r="B100" s="105">
        <f t="shared" si="7"/>
        <v>1.9400000000000013</v>
      </c>
      <c r="C100" s="105">
        <f t="shared" si="8"/>
        <v>2.7278350515463901E-2</v>
      </c>
      <c r="D100" s="105">
        <f t="shared" si="9"/>
        <v>6.2629389769922425E-2</v>
      </c>
      <c r="F100" s="105">
        <f t="shared" si="10"/>
        <v>1.9400000000000013</v>
      </c>
      <c r="G100" s="105">
        <f t="shared" si="12"/>
        <v>6.6680412371133965E-2</v>
      </c>
      <c r="H100" s="105">
        <f t="shared" si="11"/>
        <v>0.11330576495754653</v>
      </c>
      <c r="J100" s="106"/>
      <c r="R100" s="124"/>
      <c r="S100" s="106"/>
    </row>
    <row r="101" spans="2:19" ht="15" customHeight="1">
      <c r="B101" s="105">
        <f t="shared" si="7"/>
        <v>1.9600000000000013</v>
      </c>
      <c r="C101" s="105">
        <f t="shared" si="8"/>
        <v>2.6999999999999982E-2</v>
      </c>
      <c r="D101" s="105">
        <f t="shared" si="9"/>
        <v>6.2629389769922411E-2</v>
      </c>
      <c r="F101" s="105">
        <f t="shared" si="10"/>
        <v>1.9600000000000013</v>
      </c>
      <c r="G101" s="105">
        <f t="shared" si="12"/>
        <v>6.5999999999999948E-2</v>
      </c>
      <c r="H101" s="105">
        <f t="shared" si="11"/>
        <v>0.11330576495754652</v>
      </c>
      <c r="J101" s="106"/>
      <c r="R101" s="124"/>
      <c r="S101" s="106"/>
    </row>
    <row r="102" spans="2:19" ht="15" customHeight="1">
      <c r="B102" s="105">
        <f t="shared" si="7"/>
        <v>1.9800000000000013</v>
      </c>
      <c r="C102" s="105">
        <f t="shared" si="8"/>
        <v>2.6727272727272711E-2</v>
      </c>
      <c r="D102" s="105">
        <f t="shared" si="9"/>
        <v>6.2629389769922411E-2</v>
      </c>
      <c r="F102" s="105">
        <f t="shared" si="10"/>
        <v>1.9800000000000013</v>
      </c>
      <c r="G102" s="105">
        <f t="shared" si="12"/>
        <v>6.5333333333333271E-2</v>
      </c>
      <c r="H102" s="105">
        <f t="shared" si="11"/>
        <v>0.1133057649575465</v>
      </c>
      <c r="J102" s="106"/>
      <c r="R102" s="124"/>
      <c r="S102" s="106"/>
    </row>
    <row r="103" spans="2:19" ht="15" customHeight="1">
      <c r="B103" s="105">
        <f t="shared" si="7"/>
        <v>2.0000000000000013</v>
      </c>
      <c r="C103" s="105">
        <f t="shared" si="8"/>
        <v>2.6459999999999984E-2</v>
      </c>
      <c r="D103" s="105">
        <f t="shared" si="9"/>
        <v>6.2629389769922439E-2</v>
      </c>
      <c r="F103" s="105">
        <f t="shared" si="10"/>
        <v>2.0000000000000013</v>
      </c>
      <c r="G103" s="105">
        <f t="shared" si="12"/>
        <v>6.4679999999999946E-2</v>
      </c>
      <c r="H103" s="105">
        <f t="shared" si="11"/>
        <v>0.11330576495754653</v>
      </c>
      <c r="J103" s="106"/>
      <c r="R103" s="124"/>
      <c r="S103" s="106"/>
    </row>
    <row r="104" spans="2:19" ht="15" customHeight="1">
      <c r="B104" s="105">
        <f t="shared" si="7"/>
        <v>2.0200000000000014</v>
      </c>
      <c r="C104" s="105">
        <f t="shared" si="8"/>
        <v>2.619801980198018E-2</v>
      </c>
      <c r="D104" s="105">
        <f t="shared" si="9"/>
        <v>6.2629389769922411E-2</v>
      </c>
      <c r="F104" s="105">
        <f t="shared" si="10"/>
        <v>2.0200000000000014</v>
      </c>
      <c r="G104" s="105">
        <f t="shared" si="12"/>
        <v>6.4039603960395985E-2</v>
      </c>
      <c r="H104" s="105">
        <f t="shared" si="11"/>
        <v>0.11330576495754652</v>
      </c>
      <c r="J104" s="106"/>
      <c r="R104" s="124"/>
      <c r="S104" s="106"/>
    </row>
    <row r="105" spans="2:19" ht="15" customHeight="1">
      <c r="B105" s="105">
        <f t="shared" si="7"/>
        <v>2.0400000000000014</v>
      </c>
      <c r="C105" s="105">
        <f t="shared" si="8"/>
        <v>2.5941176470588218E-2</v>
      </c>
      <c r="D105" s="105">
        <f t="shared" si="9"/>
        <v>6.2629389769922411E-2</v>
      </c>
      <c r="F105" s="105">
        <f t="shared" si="10"/>
        <v>2.0400000000000014</v>
      </c>
      <c r="G105" s="105">
        <f t="shared" si="12"/>
        <v>6.3411764705882293E-2</v>
      </c>
      <c r="H105" s="105">
        <f t="shared" si="11"/>
        <v>0.11330576495754652</v>
      </c>
      <c r="J105" s="106"/>
      <c r="R105" s="124"/>
      <c r="S105" s="106"/>
    </row>
    <row r="106" spans="2:19" ht="15" customHeight="1">
      <c r="B106" s="105">
        <f t="shared" si="7"/>
        <v>2.0600000000000014</v>
      </c>
      <c r="C106" s="105">
        <f t="shared" si="8"/>
        <v>2.5689320388349497E-2</v>
      </c>
      <c r="D106" s="105">
        <f t="shared" si="9"/>
        <v>6.2629389769922425E-2</v>
      </c>
      <c r="F106" s="105">
        <f t="shared" si="10"/>
        <v>2.0600000000000014</v>
      </c>
      <c r="G106" s="105">
        <f t="shared" si="12"/>
        <v>6.279611650485431E-2</v>
      </c>
      <c r="H106" s="105">
        <f t="shared" si="11"/>
        <v>0.11330576495754652</v>
      </c>
      <c r="J106" s="106"/>
      <c r="R106" s="124"/>
      <c r="S106" s="106"/>
    </row>
    <row r="107" spans="2:19" ht="15" customHeight="1">
      <c r="B107" s="105">
        <f t="shared" si="7"/>
        <v>2.0800000000000014</v>
      </c>
      <c r="C107" s="105">
        <f t="shared" si="8"/>
        <v>2.5442307692307677E-2</v>
      </c>
      <c r="D107" s="105">
        <f t="shared" si="9"/>
        <v>6.2629389769922425E-2</v>
      </c>
      <c r="F107" s="105">
        <f t="shared" si="10"/>
        <v>2.0800000000000014</v>
      </c>
      <c r="G107" s="105">
        <f t="shared" si="12"/>
        <v>6.2192307692307637E-2</v>
      </c>
      <c r="H107" s="105">
        <f t="shared" si="11"/>
        <v>0.11330576495754652</v>
      </c>
      <c r="J107" s="106"/>
      <c r="R107" s="124"/>
      <c r="S107" s="106"/>
    </row>
    <row r="108" spans="2:19" ht="15" customHeight="1">
      <c r="B108" s="105">
        <f t="shared" si="7"/>
        <v>2.1000000000000014</v>
      </c>
      <c r="C108" s="105">
        <f t="shared" si="8"/>
        <v>2.5199999999999983E-2</v>
      </c>
      <c r="D108" s="105">
        <f t="shared" si="9"/>
        <v>6.2629389769922425E-2</v>
      </c>
      <c r="F108" s="105">
        <f t="shared" si="10"/>
        <v>2.1000000000000014</v>
      </c>
      <c r="G108" s="105">
        <f t="shared" si="12"/>
        <v>6.1599999999999946E-2</v>
      </c>
      <c r="H108" s="105">
        <f t="shared" si="11"/>
        <v>0.11330576495754652</v>
      </c>
      <c r="J108" s="106"/>
      <c r="R108" s="124"/>
      <c r="S108" s="106"/>
    </row>
    <row r="109" spans="2:19" ht="15" customHeight="1">
      <c r="B109" s="105">
        <f t="shared" si="7"/>
        <v>2.1200000000000014</v>
      </c>
      <c r="C109" s="105">
        <f t="shared" si="8"/>
        <v>2.4962264150943381E-2</v>
      </c>
      <c r="D109" s="105">
        <f t="shared" si="9"/>
        <v>6.2629389769922425E-2</v>
      </c>
      <c r="F109" s="105">
        <f t="shared" si="10"/>
        <v>2.1200000000000014</v>
      </c>
      <c r="G109" s="105">
        <f t="shared" si="12"/>
        <v>6.101886792452825E-2</v>
      </c>
      <c r="H109" s="105">
        <f t="shared" si="11"/>
        <v>0.11330576495754656</v>
      </c>
      <c r="J109" s="106"/>
      <c r="R109" s="124"/>
      <c r="S109" s="106"/>
    </row>
    <row r="110" spans="2:19" ht="15" customHeight="1">
      <c r="B110" s="105">
        <f t="shared" si="7"/>
        <v>2.1400000000000015</v>
      </c>
      <c r="C110" s="105">
        <f t="shared" si="8"/>
        <v>2.4728971962616808E-2</v>
      </c>
      <c r="D110" s="105">
        <f t="shared" si="9"/>
        <v>6.2629389769922425E-2</v>
      </c>
      <c r="F110" s="105">
        <f t="shared" si="10"/>
        <v>2.1400000000000015</v>
      </c>
      <c r="G110" s="105">
        <f t="shared" si="12"/>
        <v>6.0448598130841066E-2</v>
      </c>
      <c r="H110" s="105">
        <f t="shared" si="11"/>
        <v>0.11330576495754652</v>
      </c>
      <c r="J110" s="106"/>
      <c r="R110" s="124"/>
      <c r="S110" s="106"/>
    </row>
    <row r="111" spans="2:19" ht="15" customHeight="1">
      <c r="B111" s="105">
        <f t="shared" si="7"/>
        <v>2.1600000000000015</v>
      </c>
      <c r="C111" s="105">
        <f t="shared" si="8"/>
        <v>2.4499999999999984E-2</v>
      </c>
      <c r="D111" s="105">
        <f t="shared" si="9"/>
        <v>6.2629389769922425E-2</v>
      </c>
      <c r="F111" s="105">
        <f t="shared" si="10"/>
        <v>2.1600000000000015</v>
      </c>
      <c r="G111" s="105">
        <f t="shared" si="12"/>
        <v>5.9888888888888839E-2</v>
      </c>
      <c r="H111" s="105">
        <f t="shared" si="11"/>
        <v>0.11330576495754653</v>
      </c>
      <c r="J111" s="106"/>
      <c r="R111" s="124"/>
      <c r="S111" s="106"/>
    </row>
    <row r="112" spans="2:19" ht="15" customHeight="1">
      <c r="B112" s="105">
        <f t="shared" si="7"/>
        <v>2.1800000000000015</v>
      </c>
      <c r="C112" s="105">
        <f t="shared" si="8"/>
        <v>2.4275229357798148E-2</v>
      </c>
      <c r="D112" s="105">
        <f t="shared" si="9"/>
        <v>6.2629389769922411E-2</v>
      </c>
      <c r="F112" s="105">
        <f t="shared" si="10"/>
        <v>2.1800000000000015</v>
      </c>
      <c r="G112" s="105">
        <f t="shared" si="12"/>
        <v>5.9339449541284353E-2</v>
      </c>
      <c r="H112" s="105">
        <f t="shared" si="11"/>
        <v>0.11330576495754652</v>
      </c>
      <c r="J112" s="106"/>
      <c r="R112" s="124"/>
      <c r="S112" s="106"/>
    </row>
    <row r="113" spans="2:19" ht="15" customHeight="1">
      <c r="B113" s="105">
        <f t="shared" si="7"/>
        <v>2.2000000000000015</v>
      </c>
      <c r="C113" s="105">
        <f t="shared" si="8"/>
        <v>2.405454545454544E-2</v>
      </c>
      <c r="D113" s="105">
        <f t="shared" si="9"/>
        <v>6.2629389769922425E-2</v>
      </c>
      <c r="F113" s="105">
        <f t="shared" si="10"/>
        <v>2.2000000000000015</v>
      </c>
      <c r="G113" s="105">
        <f t="shared" si="12"/>
        <v>5.879999999999995E-2</v>
      </c>
      <c r="H113" s="105">
        <f t="shared" si="11"/>
        <v>0.11330576495754653</v>
      </c>
      <c r="J113" s="106"/>
      <c r="R113" s="124"/>
      <c r="S113" s="106"/>
    </row>
    <row r="114" spans="2:19" ht="15" customHeight="1">
      <c r="B114" s="105">
        <f t="shared" si="7"/>
        <v>2.2200000000000015</v>
      </c>
      <c r="C114" s="105">
        <f t="shared" si="8"/>
        <v>2.3837837837837821E-2</v>
      </c>
      <c r="D114" s="105">
        <f t="shared" si="9"/>
        <v>6.2629389769922425E-2</v>
      </c>
      <c r="F114" s="105">
        <f t="shared" si="10"/>
        <v>2.2200000000000015</v>
      </c>
      <c r="G114" s="105">
        <f t="shared" si="12"/>
        <v>5.8270270270270222E-2</v>
      </c>
      <c r="H114" s="105">
        <f t="shared" si="11"/>
        <v>0.11330576495754653</v>
      </c>
      <c r="J114" s="106"/>
      <c r="R114" s="124"/>
      <c r="S114" s="106"/>
    </row>
    <row r="115" spans="2:19" ht="15" customHeight="1">
      <c r="B115" s="105">
        <f t="shared" si="7"/>
        <v>2.2400000000000015</v>
      </c>
      <c r="C115" s="105">
        <f t="shared" si="8"/>
        <v>2.3624999999999983E-2</v>
      </c>
      <c r="D115" s="105">
        <f t="shared" si="9"/>
        <v>6.2629389769922411E-2</v>
      </c>
      <c r="F115" s="105">
        <f t="shared" si="10"/>
        <v>2.2400000000000015</v>
      </c>
      <c r="G115" s="105">
        <f t="shared" si="12"/>
        <v>5.7749999999999947E-2</v>
      </c>
      <c r="H115" s="105">
        <f t="shared" si="11"/>
        <v>0.11330576495754652</v>
      </c>
      <c r="J115" s="106"/>
      <c r="R115" s="124"/>
      <c r="S115" s="106"/>
    </row>
    <row r="116" spans="2:19" ht="15" customHeight="1">
      <c r="B116" s="105">
        <f t="shared" si="7"/>
        <v>2.2600000000000016</v>
      </c>
      <c r="C116" s="105">
        <f t="shared" si="8"/>
        <v>2.3415929203539809E-2</v>
      </c>
      <c r="D116" s="105">
        <f t="shared" si="9"/>
        <v>6.2629389769922425E-2</v>
      </c>
      <c r="F116" s="105">
        <f t="shared" si="10"/>
        <v>2.2600000000000016</v>
      </c>
      <c r="G116" s="105">
        <f t="shared" si="12"/>
        <v>5.7238938053097294E-2</v>
      </c>
      <c r="H116" s="105">
        <f t="shared" si="11"/>
        <v>0.11330576495754652</v>
      </c>
      <c r="J116" s="106"/>
      <c r="R116" s="124"/>
      <c r="S116" s="106"/>
    </row>
    <row r="117" spans="2:19" ht="15" customHeight="1">
      <c r="B117" s="105">
        <f t="shared" si="7"/>
        <v>2.2800000000000016</v>
      </c>
      <c r="C117" s="105">
        <f t="shared" si="8"/>
        <v>2.3210526315789459E-2</v>
      </c>
      <c r="D117" s="105">
        <f t="shared" si="9"/>
        <v>6.2629389769922425E-2</v>
      </c>
      <c r="F117" s="105">
        <f t="shared" si="10"/>
        <v>2.2800000000000016</v>
      </c>
      <c r="G117" s="105">
        <f t="shared" si="12"/>
        <v>5.6736842105263106E-2</v>
      </c>
      <c r="H117" s="105">
        <f t="shared" si="11"/>
        <v>0.11330576495754652</v>
      </c>
      <c r="J117" s="106"/>
      <c r="R117" s="124"/>
      <c r="S117" s="106"/>
    </row>
    <row r="118" spans="2:19" ht="15" customHeight="1">
      <c r="B118" s="105">
        <f t="shared" si="7"/>
        <v>2.3000000000000016</v>
      </c>
      <c r="C118" s="105">
        <f t="shared" si="8"/>
        <v>2.3008695652173897E-2</v>
      </c>
      <c r="D118" s="105">
        <f t="shared" si="9"/>
        <v>6.2629389769922411E-2</v>
      </c>
      <c r="F118" s="105">
        <f t="shared" si="10"/>
        <v>2.3000000000000016</v>
      </c>
      <c r="G118" s="105">
        <f t="shared" si="12"/>
        <v>5.6243478260869513E-2</v>
      </c>
      <c r="H118" s="105">
        <f t="shared" si="11"/>
        <v>0.1133057649575465</v>
      </c>
      <c r="J118" s="106"/>
      <c r="R118" s="124"/>
      <c r="S118" s="106"/>
    </row>
    <row r="119" spans="2:19" ht="15" customHeight="1">
      <c r="B119" s="105">
        <f t="shared" si="7"/>
        <v>2.3200000000000016</v>
      </c>
      <c r="C119" s="105">
        <f t="shared" si="8"/>
        <v>2.281034482758619E-2</v>
      </c>
      <c r="D119" s="105">
        <f t="shared" si="9"/>
        <v>6.2629389769922425E-2</v>
      </c>
      <c r="F119" s="105">
        <f t="shared" si="10"/>
        <v>2.3200000000000016</v>
      </c>
      <c r="G119" s="105">
        <f t="shared" si="12"/>
        <v>5.575862068965512E-2</v>
      </c>
      <c r="H119" s="105">
        <f t="shared" si="11"/>
        <v>0.11330576495754652</v>
      </c>
      <c r="J119" s="106"/>
      <c r="R119" s="124"/>
      <c r="S119" s="106"/>
    </row>
    <row r="120" spans="2:19" ht="15" customHeight="1">
      <c r="B120" s="105">
        <f t="shared" si="7"/>
        <v>2.3400000000000016</v>
      </c>
      <c r="C120" s="105">
        <f t="shared" si="8"/>
        <v>2.26153846153846E-2</v>
      </c>
      <c r="D120" s="105">
        <f t="shared" si="9"/>
        <v>6.2629389769922425E-2</v>
      </c>
      <c r="F120" s="105">
        <f t="shared" si="10"/>
        <v>2.3400000000000016</v>
      </c>
      <c r="G120" s="105">
        <f t="shared" si="12"/>
        <v>5.5282051282051235E-2</v>
      </c>
      <c r="H120" s="105">
        <f t="shared" si="11"/>
        <v>0.11330576495754656</v>
      </c>
      <c r="J120" s="106"/>
      <c r="R120" s="124"/>
      <c r="S120" s="106"/>
    </row>
    <row r="121" spans="2:19" ht="15" customHeight="1">
      <c r="B121" s="105">
        <f t="shared" si="7"/>
        <v>2.3600000000000017</v>
      </c>
      <c r="C121" s="105">
        <f t="shared" si="8"/>
        <v>2.2423728813559307E-2</v>
      </c>
      <c r="D121" s="105">
        <f t="shared" si="9"/>
        <v>6.2629389769922411E-2</v>
      </c>
      <c r="F121" s="105">
        <f t="shared" si="10"/>
        <v>2.3600000000000017</v>
      </c>
      <c r="G121" s="105">
        <f t="shared" si="12"/>
        <v>5.4813559322033849E-2</v>
      </c>
      <c r="H121" s="105">
        <f t="shared" si="11"/>
        <v>0.11330576495754652</v>
      </c>
      <c r="J121" s="106"/>
      <c r="R121" s="124"/>
      <c r="S121" s="106"/>
    </row>
    <row r="122" spans="2:19" ht="15" customHeight="1">
      <c r="B122" s="105">
        <f t="shared" si="7"/>
        <v>2.3800000000000017</v>
      </c>
      <c r="C122" s="105">
        <f t="shared" si="8"/>
        <v>2.2235294117647044E-2</v>
      </c>
      <c r="D122" s="105">
        <f t="shared" si="9"/>
        <v>6.2629389769922425E-2</v>
      </c>
      <c r="F122" s="105">
        <f t="shared" si="10"/>
        <v>2.3800000000000017</v>
      </c>
      <c r="G122" s="105">
        <f t="shared" si="12"/>
        <v>5.4352941176470541E-2</v>
      </c>
      <c r="H122" s="105">
        <f t="shared" si="11"/>
        <v>0.11330576495754652</v>
      </c>
      <c r="J122" s="106"/>
      <c r="R122" s="124"/>
      <c r="S122" s="106"/>
    </row>
    <row r="123" spans="2:19" ht="15" customHeight="1">
      <c r="B123" s="105">
        <f t="shared" si="7"/>
        <v>2.4000000000000017</v>
      </c>
      <c r="C123" s="105">
        <f t="shared" si="8"/>
        <v>2.2049999999999986E-2</v>
      </c>
      <c r="D123" s="105">
        <f t="shared" si="9"/>
        <v>6.2629389769922425E-2</v>
      </c>
      <c r="F123" s="105">
        <f t="shared" si="10"/>
        <v>2.4000000000000017</v>
      </c>
      <c r="G123" s="105">
        <f t="shared" si="12"/>
        <v>5.3899999999999955E-2</v>
      </c>
      <c r="H123" s="105">
        <f t="shared" si="11"/>
        <v>0.11330576495754652</v>
      </c>
      <c r="J123" s="106"/>
      <c r="R123" s="124"/>
      <c r="S123" s="106"/>
    </row>
    <row r="124" spans="2:19" ht="15" customHeight="1">
      <c r="B124" s="105">
        <f t="shared" si="7"/>
        <v>2.4200000000000017</v>
      </c>
      <c r="C124" s="105">
        <f t="shared" si="8"/>
        <v>2.1867768595041307E-2</v>
      </c>
      <c r="D124" s="105">
        <f t="shared" si="9"/>
        <v>6.2629389769922411E-2</v>
      </c>
      <c r="F124" s="105">
        <f t="shared" si="10"/>
        <v>2.4200000000000017</v>
      </c>
      <c r="G124" s="105">
        <f t="shared" si="12"/>
        <v>5.3454545454545407E-2</v>
      </c>
      <c r="H124" s="105">
        <f t="shared" si="11"/>
        <v>0.11330576495754652</v>
      </c>
      <c r="J124" s="106"/>
      <c r="R124" s="124"/>
      <c r="S124" s="106"/>
    </row>
    <row r="125" spans="2:19" ht="15" customHeight="1">
      <c r="B125" s="105">
        <f t="shared" si="7"/>
        <v>2.4400000000000017</v>
      </c>
      <c r="C125" s="105">
        <f t="shared" si="8"/>
        <v>2.1688524590163918E-2</v>
      </c>
      <c r="D125" s="105">
        <f t="shared" si="9"/>
        <v>6.2629389769922425E-2</v>
      </c>
      <c r="F125" s="105">
        <f t="shared" si="10"/>
        <v>2.4400000000000017</v>
      </c>
      <c r="G125" s="105">
        <f t="shared" si="12"/>
        <v>5.3016393442622906E-2</v>
      </c>
      <c r="H125" s="105">
        <f t="shared" si="11"/>
        <v>0.11330576495754656</v>
      </c>
      <c r="J125" s="106"/>
      <c r="R125" s="124"/>
      <c r="S125" s="106"/>
    </row>
    <row r="126" spans="2:19" ht="15" customHeight="1">
      <c r="B126" s="105">
        <f t="shared" si="7"/>
        <v>2.4600000000000017</v>
      </c>
      <c r="C126" s="105">
        <f t="shared" si="8"/>
        <v>2.1512195121951204E-2</v>
      </c>
      <c r="D126" s="105">
        <f t="shared" si="9"/>
        <v>6.2629389769922411E-2</v>
      </c>
      <c r="F126" s="105">
        <f t="shared" si="10"/>
        <v>2.4600000000000017</v>
      </c>
      <c r="G126" s="105">
        <f t="shared" si="12"/>
        <v>5.2585365853658486E-2</v>
      </c>
      <c r="H126" s="105">
        <f t="shared" si="11"/>
        <v>0.1133057649575465</v>
      </c>
      <c r="J126" s="106"/>
      <c r="R126" s="124"/>
      <c r="S126" s="106"/>
    </row>
    <row r="127" spans="2:19" ht="15" customHeight="1">
      <c r="B127" s="105">
        <f t="shared" si="7"/>
        <v>2.4800000000000018</v>
      </c>
      <c r="C127" s="105">
        <f t="shared" si="8"/>
        <v>2.133870967741934E-2</v>
      </c>
      <c r="D127" s="105">
        <f t="shared" si="9"/>
        <v>6.2629389769922411E-2</v>
      </c>
      <c r="F127" s="105">
        <f t="shared" si="10"/>
        <v>2.4800000000000018</v>
      </c>
      <c r="G127" s="105">
        <f t="shared" si="12"/>
        <v>5.21612903225806E-2</v>
      </c>
      <c r="H127" s="105">
        <f t="shared" si="11"/>
        <v>0.11330576495754653</v>
      </c>
      <c r="J127" s="106"/>
      <c r="R127" s="124"/>
      <c r="S127" s="106"/>
    </row>
    <row r="128" spans="2:19" ht="15" customHeight="1">
      <c r="B128" s="105">
        <f t="shared" si="7"/>
        <v>2.5000000000000018</v>
      </c>
      <c r="C128" s="105">
        <f t="shared" si="8"/>
        <v>2.1167999999999985E-2</v>
      </c>
      <c r="D128" s="105">
        <f t="shared" si="9"/>
        <v>6.2629389769922425E-2</v>
      </c>
      <c r="F128" s="105">
        <f t="shared" si="10"/>
        <v>2.5000000000000018</v>
      </c>
      <c r="G128" s="105">
        <f t="shared" si="12"/>
        <v>5.1743999999999957E-2</v>
      </c>
      <c r="H128" s="105">
        <f t="shared" si="11"/>
        <v>0.11330576495754653</v>
      </c>
      <c r="J128" s="106"/>
      <c r="R128" s="124"/>
      <c r="S128" s="106"/>
    </row>
    <row r="129" spans="2:19" ht="15" customHeight="1">
      <c r="B129" s="105">
        <f t="shared" si="7"/>
        <v>2.5200000000000018</v>
      </c>
      <c r="C129" s="105">
        <f t="shared" si="8"/>
        <v>2.0999999999999987E-2</v>
      </c>
      <c r="D129" s="105">
        <f t="shared" si="9"/>
        <v>6.2629389769922425E-2</v>
      </c>
      <c r="F129" s="105">
        <f t="shared" si="10"/>
        <v>2.5200000000000018</v>
      </c>
      <c r="G129" s="105">
        <f t="shared" si="12"/>
        <v>5.1333333333333286E-2</v>
      </c>
      <c r="H129" s="105">
        <f t="shared" si="11"/>
        <v>0.11330576495754652</v>
      </c>
      <c r="J129" s="106"/>
      <c r="R129" s="124"/>
      <c r="S129" s="106"/>
    </row>
    <row r="130" spans="2:19" ht="15" customHeight="1">
      <c r="B130" s="105">
        <f t="shared" si="7"/>
        <v>2.5400000000000018</v>
      </c>
      <c r="C130" s="105">
        <f t="shared" si="8"/>
        <v>2.0834645669291326E-2</v>
      </c>
      <c r="D130" s="105">
        <f t="shared" si="9"/>
        <v>6.2629389769922425E-2</v>
      </c>
      <c r="F130" s="105">
        <f t="shared" si="10"/>
        <v>2.5400000000000018</v>
      </c>
      <c r="G130" s="105">
        <f t="shared" si="12"/>
        <v>5.0929133858267674E-2</v>
      </c>
      <c r="H130" s="105">
        <f t="shared" si="11"/>
        <v>0.11330576495754652</v>
      </c>
      <c r="J130" s="106"/>
      <c r="R130" s="124"/>
      <c r="S130" s="106"/>
    </row>
    <row r="131" spans="2:19" ht="15" customHeight="1">
      <c r="B131" s="105">
        <f t="shared" si="7"/>
        <v>2.5600000000000018</v>
      </c>
      <c r="C131" s="105">
        <f t="shared" si="8"/>
        <v>2.0671874999999985E-2</v>
      </c>
      <c r="D131" s="105">
        <f t="shared" si="9"/>
        <v>6.2629389769922425E-2</v>
      </c>
      <c r="F131" s="105">
        <f t="shared" si="10"/>
        <v>2.5600000000000018</v>
      </c>
      <c r="G131" s="105">
        <f t="shared" si="12"/>
        <v>5.0531249999999951E-2</v>
      </c>
      <c r="H131" s="105">
        <f t="shared" si="11"/>
        <v>0.11330576495754652</v>
      </c>
      <c r="J131" s="106"/>
      <c r="R131" s="124"/>
      <c r="S131" s="106"/>
    </row>
    <row r="132" spans="2:19" ht="15" customHeight="1">
      <c r="B132" s="105">
        <f t="shared" ref="B132:B195" si="13">B131+0.02</f>
        <v>2.5800000000000018</v>
      </c>
      <c r="C132" s="105">
        <f t="shared" ref="C132:C195" si="14">IF(B132=0,M136,IF(AND(B132&gt;0,B132&lt;=$M$9),$M$7+(($M$8-$M$7)/($M$9-$B$3)*(B132-$B$3)),IF(AND(B132&gt;$M$9,B132&lt;=$M$10),$M$8,IF(AND(B132&gt;$M$10,B132&lt;=$M$11),$M$12/B132,IF(B132&gt;$M$11,$M$13/B132^2)))))</f>
        <v>2.0511627906976731E-2</v>
      </c>
      <c r="D132" s="105">
        <f t="shared" ref="D132:D195" si="15">(B132/(2*PI()))*(C132*9.81)*$M$15</f>
        <v>6.2629389769922425E-2</v>
      </c>
      <c r="F132" s="105">
        <f t="shared" ref="F132:F195" si="16">F131+0.02</f>
        <v>2.5800000000000018</v>
      </c>
      <c r="G132" s="105">
        <f t="shared" si="12"/>
        <v>5.0139534883720888E-2</v>
      </c>
      <c r="H132" s="105">
        <f t="shared" ref="H132:H195" si="17">(F132/(2*PI()))*(G132*9.81)*$P$15</f>
        <v>0.11330576495754652</v>
      </c>
      <c r="J132" s="106"/>
      <c r="R132" s="124"/>
      <c r="S132" s="106"/>
    </row>
    <row r="133" spans="2:19" ht="15" customHeight="1">
      <c r="B133" s="105">
        <f t="shared" si="13"/>
        <v>2.6000000000000019</v>
      </c>
      <c r="C133" s="105">
        <f t="shared" si="14"/>
        <v>2.0353846153846139E-2</v>
      </c>
      <c r="D133" s="105">
        <f t="shared" si="15"/>
        <v>6.2629389769922411E-2</v>
      </c>
      <c r="F133" s="105">
        <f t="shared" si="16"/>
        <v>2.6000000000000019</v>
      </c>
      <c r="G133" s="105">
        <f t="shared" si="12"/>
        <v>4.9753846153846107E-2</v>
      </c>
      <c r="H133" s="105">
        <f t="shared" si="17"/>
        <v>0.11330576495754652</v>
      </c>
      <c r="J133" s="106"/>
      <c r="R133" s="124"/>
      <c r="S133" s="106"/>
    </row>
    <row r="134" spans="2:19" ht="15" customHeight="1">
      <c r="B134" s="105">
        <f t="shared" si="13"/>
        <v>2.6200000000000019</v>
      </c>
      <c r="C134" s="105">
        <f t="shared" si="14"/>
        <v>2.0198473282442734E-2</v>
      </c>
      <c r="D134" s="105">
        <f t="shared" si="15"/>
        <v>6.2629389769922425E-2</v>
      </c>
      <c r="F134" s="105">
        <f t="shared" si="16"/>
        <v>2.6200000000000019</v>
      </c>
      <c r="G134" s="105">
        <f t="shared" si="12"/>
        <v>4.937404580152667E-2</v>
      </c>
      <c r="H134" s="105">
        <f t="shared" si="17"/>
        <v>0.11330576495754653</v>
      </c>
      <c r="J134" s="106"/>
      <c r="R134" s="124"/>
      <c r="S134" s="106"/>
    </row>
    <row r="135" spans="2:19" ht="15" customHeight="1">
      <c r="B135" s="105">
        <f t="shared" si="13"/>
        <v>2.6400000000000019</v>
      </c>
      <c r="C135" s="105">
        <f t="shared" si="14"/>
        <v>2.0045454545454533E-2</v>
      </c>
      <c r="D135" s="105">
        <f t="shared" si="15"/>
        <v>6.2629389769922425E-2</v>
      </c>
      <c r="F135" s="105">
        <f t="shared" si="16"/>
        <v>2.6400000000000019</v>
      </c>
      <c r="G135" s="105">
        <f t="shared" si="12"/>
        <v>4.8999999999999953E-2</v>
      </c>
      <c r="H135" s="105">
        <f t="shared" si="17"/>
        <v>0.11330576495754652</v>
      </c>
      <c r="J135" s="106"/>
      <c r="R135" s="124"/>
      <c r="S135" s="106"/>
    </row>
    <row r="136" spans="2:19" ht="15" customHeight="1">
      <c r="B136" s="105">
        <f t="shared" si="13"/>
        <v>2.6600000000000019</v>
      </c>
      <c r="C136" s="105">
        <f t="shared" si="14"/>
        <v>1.989473684210525E-2</v>
      </c>
      <c r="D136" s="105">
        <f t="shared" si="15"/>
        <v>6.2629389769922425E-2</v>
      </c>
      <c r="F136" s="105">
        <f t="shared" si="16"/>
        <v>2.6600000000000019</v>
      </c>
      <c r="G136" s="105">
        <f t="shared" si="12"/>
        <v>4.863157894736838E-2</v>
      </c>
      <c r="H136" s="105">
        <f t="shared" si="17"/>
        <v>0.11330576495754653</v>
      </c>
      <c r="J136" s="106"/>
      <c r="R136" s="124"/>
      <c r="S136" s="106"/>
    </row>
    <row r="137" spans="2:19" ht="15" customHeight="1">
      <c r="B137" s="105">
        <f t="shared" si="13"/>
        <v>2.6800000000000019</v>
      </c>
      <c r="C137" s="105">
        <f t="shared" si="14"/>
        <v>1.9746268656716404E-2</v>
      </c>
      <c r="D137" s="105">
        <f t="shared" si="15"/>
        <v>6.2629389769922411E-2</v>
      </c>
      <c r="F137" s="105">
        <f t="shared" si="16"/>
        <v>2.6800000000000019</v>
      </c>
      <c r="G137" s="105">
        <f t="shared" si="12"/>
        <v>4.826865671641787E-2</v>
      </c>
      <c r="H137" s="105">
        <f t="shared" si="17"/>
        <v>0.11330576495754652</v>
      </c>
      <c r="J137" s="106"/>
      <c r="R137" s="124"/>
      <c r="S137" s="106"/>
    </row>
    <row r="138" spans="2:19" ht="15" customHeight="1">
      <c r="B138" s="105">
        <f t="shared" si="13"/>
        <v>2.700000000000002</v>
      </c>
      <c r="C138" s="105">
        <f t="shared" si="14"/>
        <v>1.9599999999999985E-2</v>
      </c>
      <c r="D138" s="105">
        <f t="shared" si="15"/>
        <v>6.2629389769922411E-2</v>
      </c>
      <c r="F138" s="105">
        <f t="shared" si="16"/>
        <v>2.700000000000002</v>
      </c>
      <c r="G138" s="105">
        <f t="shared" ref="G138:G201" si="18">IF(F138=0,T153,IF(AND(F138&gt;0,F138&lt;=$P$9),$P$7+(($P$8-$P$7)/($P$9-$F$3)*(F138-$F$3)),IF(AND(F138&gt;$P$9,F138&lt;=$P$10),$P$8,IF(AND(F138&gt;$P$10,F138&lt;=$P$11),$P$12/F138,IF(F138&gt;$P$11,$P$13/F138^2)))))</f>
        <v>4.7911111111111064E-2</v>
      </c>
      <c r="H138" s="105">
        <f t="shared" si="17"/>
        <v>0.1133057649575465</v>
      </c>
      <c r="J138" s="106"/>
      <c r="R138" s="124"/>
      <c r="S138" s="106"/>
    </row>
    <row r="139" spans="2:19" ht="15" customHeight="1">
      <c r="B139" s="105">
        <f t="shared" si="13"/>
        <v>2.720000000000002</v>
      </c>
      <c r="C139" s="105">
        <f t="shared" si="14"/>
        <v>1.9455882352941163E-2</v>
      </c>
      <c r="D139" s="105">
        <f t="shared" si="15"/>
        <v>6.2629389769922425E-2</v>
      </c>
      <c r="F139" s="105">
        <f t="shared" si="16"/>
        <v>2.720000000000002</v>
      </c>
      <c r="G139" s="105">
        <f t="shared" si="18"/>
        <v>4.7558823529411723E-2</v>
      </c>
      <c r="H139" s="105">
        <f t="shared" si="17"/>
        <v>0.11330576495754653</v>
      </c>
      <c r="J139" s="106"/>
      <c r="R139" s="124"/>
      <c r="S139" s="106"/>
    </row>
    <row r="140" spans="2:19" ht="15" customHeight="1">
      <c r="B140" s="105">
        <f t="shared" si="13"/>
        <v>2.740000000000002</v>
      </c>
      <c r="C140" s="105">
        <f t="shared" si="14"/>
        <v>1.9313868613138673E-2</v>
      </c>
      <c r="D140" s="105">
        <f t="shared" si="15"/>
        <v>6.2629389769922425E-2</v>
      </c>
      <c r="F140" s="105">
        <f t="shared" si="16"/>
        <v>2.740000000000002</v>
      </c>
      <c r="G140" s="105">
        <f t="shared" si="18"/>
        <v>4.7211678832116744E-2</v>
      </c>
      <c r="H140" s="105">
        <f t="shared" si="17"/>
        <v>0.1133057649575465</v>
      </c>
      <c r="J140" s="106"/>
      <c r="R140" s="124"/>
      <c r="S140" s="106"/>
    </row>
    <row r="141" spans="2:19" ht="15" customHeight="1">
      <c r="B141" s="105">
        <f t="shared" si="13"/>
        <v>2.760000000000002</v>
      </c>
      <c r="C141" s="105">
        <f t="shared" si="14"/>
        <v>1.9173913043478246E-2</v>
      </c>
      <c r="D141" s="105">
        <f t="shared" si="15"/>
        <v>6.2629389769922411E-2</v>
      </c>
      <c r="F141" s="105">
        <f t="shared" si="16"/>
        <v>2.760000000000002</v>
      </c>
      <c r="G141" s="105">
        <f t="shared" si="18"/>
        <v>4.686956521739126E-2</v>
      </c>
      <c r="H141" s="105">
        <f t="shared" si="17"/>
        <v>0.11330576495754652</v>
      </c>
      <c r="J141" s="106"/>
      <c r="R141" s="124"/>
      <c r="S141" s="106"/>
    </row>
    <row r="142" spans="2:19" ht="15" customHeight="1">
      <c r="B142" s="105">
        <f t="shared" si="13"/>
        <v>2.780000000000002</v>
      </c>
      <c r="C142" s="105">
        <f t="shared" si="14"/>
        <v>1.9035971223021569E-2</v>
      </c>
      <c r="D142" s="105">
        <f t="shared" si="15"/>
        <v>6.2629389769922411E-2</v>
      </c>
      <c r="F142" s="105">
        <f t="shared" si="16"/>
        <v>2.780000000000002</v>
      </c>
      <c r="G142" s="105">
        <f t="shared" si="18"/>
        <v>4.6532374100719379E-2</v>
      </c>
      <c r="H142" s="105">
        <f t="shared" si="17"/>
        <v>0.11330576495754652</v>
      </c>
      <c r="J142" s="106"/>
      <c r="R142" s="124"/>
      <c r="S142" s="106"/>
    </row>
    <row r="143" spans="2:19" ht="15" customHeight="1">
      <c r="B143" s="105">
        <f t="shared" si="13"/>
        <v>2.800000000000002</v>
      </c>
      <c r="C143" s="105">
        <f t="shared" si="14"/>
        <v>1.8899999999999986E-2</v>
      </c>
      <c r="D143" s="105">
        <f t="shared" si="15"/>
        <v>6.2629389769922411E-2</v>
      </c>
      <c r="F143" s="105">
        <f t="shared" si="16"/>
        <v>2.800000000000002</v>
      </c>
      <c r="G143" s="105">
        <f t="shared" si="18"/>
        <v>4.6199999999999956E-2</v>
      </c>
      <c r="H143" s="105">
        <f t="shared" si="17"/>
        <v>0.1133057649575465</v>
      </c>
      <c r="J143" s="106"/>
      <c r="R143" s="124"/>
      <c r="S143" s="106"/>
    </row>
    <row r="144" spans="2:19" ht="15" customHeight="1">
      <c r="B144" s="105">
        <f t="shared" si="13"/>
        <v>2.8200000000000021</v>
      </c>
      <c r="C144" s="105">
        <f t="shared" si="14"/>
        <v>1.8765957446808496E-2</v>
      </c>
      <c r="D144" s="105">
        <f t="shared" si="15"/>
        <v>6.2629389769922425E-2</v>
      </c>
      <c r="F144" s="105">
        <f t="shared" si="16"/>
        <v>2.8200000000000021</v>
      </c>
      <c r="G144" s="105">
        <f t="shared" si="18"/>
        <v>4.5872340425531871E-2</v>
      </c>
      <c r="H144" s="105">
        <f t="shared" si="17"/>
        <v>0.11330576495754652</v>
      </c>
      <c r="J144" s="106"/>
      <c r="R144" s="124"/>
      <c r="S144" s="106"/>
    </row>
    <row r="145" spans="2:19" ht="15" customHeight="1">
      <c r="B145" s="105">
        <f t="shared" si="13"/>
        <v>2.8400000000000021</v>
      </c>
      <c r="C145" s="105">
        <f t="shared" si="14"/>
        <v>1.8633802816901395E-2</v>
      </c>
      <c r="D145" s="105">
        <f t="shared" si="15"/>
        <v>6.2629389769922425E-2</v>
      </c>
      <c r="F145" s="105">
        <f t="shared" si="16"/>
        <v>2.8400000000000021</v>
      </c>
      <c r="G145" s="105">
        <f t="shared" si="18"/>
        <v>4.5549295774647842E-2</v>
      </c>
      <c r="H145" s="105">
        <f t="shared" si="17"/>
        <v>0.11330576495754652</v>
      </c>
      <c r="J145" s="106"/>
      <c r="R145" s="124"/>
      <c r="S145" s="106"/>
    </row>
    <row r="146" spans="2:19" ht="15" customHeight="1">
      <c r="B146" s="105">
        <f t="shared" si="13"/>
        <v>2.8600000000000021</v>
      </c>
      <c r="C146" s="105">
        <f t="shared" si="14"/>
        <v>1.8503496503496492E-2</v>
      </c>
      <c r="D146" s="105">
        <f t="shared" si="15"/>
        <v>6.2629389769922439E-2</v>
      </c>
      <c r="F146" s="105">
        <f t="shared" si="16"/>
        <v>2.8600000000000021</v>
      </c>
      <c r="G146" s="105">
        <f t="shared" si="18"/>
        <v>4.5230769230769186E-2</v>
      </c>
      <c r="H146" s="105">
        <f t="shared" si="17"/>
        <v>0.11330576495754652</v>
      </c>
      <c r="J146" s="106"/>
      <c r="R146" s="124"/>
      <c r="S146" s="106"/>
    </row>
    <row r="147" spans="2:19" ht="15" customHeight="1">
      <c r="B147" s="105">
        <f t="shared" si="13"/>
        <v>2.8800000000000021</v>
      </c>
      <c r="C147" s="105">
        <f t="shared" si="14"/>
        <v>1.8374999999999989E-2</v>
      </c>
      <c r="D147" s="105">
        <f t="shared" si="15"/>
        <v>6.2629389769922425E-2</v>
      </c>
      <c r="F147" s="105">
        <f t="shared" si="16"/>
        <v>2.8800000000000021</v>
      </c>
      <c r="G147" s="105">
        <f t="shared" si="18"/>
        <v>4.4916666666666626E-2</v>
      </c>
      <c r="H147" s="105">
        <f t="shared" si="17"/>
        <v>0.11330576495754652</v>
      </c>
      <c r="J147" s="106"/>
      <c r="R147" s="124"/>
      <c r="S147" s="106"/>
    </row>
    <row r="148" spans="2:19" ht="15" customHeight="1">
      <c r="B148" s="105">
        <f t="shared" si="13"/>
        <v>2.9000000000000021</v>
      </c>
      <c r="C148" s="105">
        <f t="shared" si="14"/>
        <v>1.8248275862068952E-2</v>
      </c>
      <c r="D148" s="105">
        <f t="shared" si="15"/>
        <v>6.2629389769922411E-2</v>
      </c>
      <c r="F148" s="105">
        <f t="shared" si="16"/>
        <v>2.9000000000000021</v>
      </c>
      <c r="G148" s="105">
        <f t="shared" si="18"/>
        <v>4.4606896551724097E-2</v>
      </c>
      <c r="H148" s="105">
        <f t="shared" si="17"/>
        <v>0.11330576495754652</v>
      </c>
      <c r="J148" s="106"/>
      <c r="R148" s="124"/>
      <c r="S148" s="106"/>
    </row>
    <row r="149" spans="2:19" ht="15" customHeight="1">
      <c r="B149" s="105">
        <f t="shared" si="13"/>
        <v>2.9200000000000021</v>
      </c>
      <c r="C149" s="105">
        <f t="shared" si="14"/>
        <v>1.8123287671232863E-2</v>
      </c>
      <c r="D149" s="105">
        <f t="shared" si="15"/>
        <v>6.2629389769922425E-2</v>
      </c>
      <c r="F149" s="105">
        <f t="shared" si="16"/>
        <v>2.9200000000000021</v>
      </c>
      <c r="G149" s="105">
        <f t="shared" si="18"/>
        <v>4.4301369863013661E-2</v>
      </c>
      <c r="H149" s="105">
        <f t="shared" si="17"/>
        <v>0.11330576495754652</v>
      </c>
      <c r="J149" s="106"/>
      <c r="R149" s="124"/>
      <c r="S149" s="106"/>
    </row>
    <row r="150" spans="2:19" ht="15" customHeight="1">
      <c r="B150" s="105">
        <f t="shared" si="13"/>
        <v>2.9400000000000022</v>
      </c>
      <c r="C150" s="105">
        <f t="shared" si="14"/>
        <v>1.7999999999999988E-2</v>
      </c>
      <c r="D150" s="105">
        <f t="shared" si="15"/>
        <v>6.2629389769922425E-2</v>
      </c>
      <c r="F150" s="105">
        <f t="shared" si="16"/>
        <v>2.9400000000000022</v>
      </c>
      <c r="G150" s="105">
        <f t="shared" si="18"/>
        <v>4.3999999999999956E-2</v>
      </c>
      <c r="H150" s="105">
        <f t="shared" si="17"/>
        <v>0.11330576495754652</v>
      </c>
      <c r="J150" s="106"/>
      <c r="R150" s="124"/>
      <c r="S150" s="106"/>
    </row>
    <row r="151" spans="2:19" ht="15" customHeight="1">
      <c r="B151" s="105">
        <f t="shared" si="13"/>
        <v>2.9600000000000022</v>
      </c>
      <c r="C151" s="105">
        <f t="shared" si="14"/>
        <v>1.7878378378378367E-2</v>
      </c>
      <c r="D151" s="105">
        <f t="shared" si="15"/>
        <v>6.2629389769922425E-2</v>
      </c>
      <c r="F151" s="105">
        <f t="shared" si="16"/>
        <v>2.9600000000000022</v>
      </c>
      <c r="G151" s="105">
        <f t="shared" si="18"/>
        <v>4.3702702702702663E-2</v>
      </c>
      <c r="H151" s="105">
        <f t="shared" si="17"/>
        <v>0.11330576495754652</v>
      </c>
      <c r="J151" s="106"/>
      <c r="R151" s="124"/>
      <c r="S151" s="106"/>
    </row>
    <row r="152" spans="2:19" ht="15" customHeight="1">
      <c r="B152" s="105">
        <f t="shared" si="13"/>
        <v>2.9800000000000022</v>
      </c>
      <c r="C152" s="105">
        <f t="shared" si="14"/>
        <v>1.7758389261744955E-2</v>
      </c>
      <c r="D152" s="105">
        <f t="shared" si="15"/>
        <v>6.2629389769922425E-2</v>
      </c>
      <c r="F152" s="105">
        <f t="shared" si="16"/>
        <v>2.9800000000000022</v>
      </c>
      <c r="G152" s="105">
        <f t="shared" si="18"/>
        <v>4.3409395973154324E-2</v>
      </c>
      <c r="H152" s="105">
        <f t="shared" si="17"/>
        <v>0.11330576495754653</v>
      </c>
      <c r="J152" s="106"/>
      <c r="R152" s="124"/>
      <c r="S152" s="106"/>
    </row>
    <row r="153" spans="2:19" ht="15" customHeight="1">
      <c r="B153" s="105">
        <f t="shared" si="13"/>
        <v>3.0000000000000022</v>
      </c>
      <c r="C153" s="105">
        <f t="shared" si="14"/>
        <v>1.7639999999999989E-2</v>
      </c>
      <c r="D153" s="105">
        <f t="shared" si="15"/>
        <v>6.2629389769922439E-2</v>
      </c>
      <c r="F153" s="105">
        <f t="shared" si="16"/>
        <v>3.0000000000000022</v>
      </c>
      <c r="G153" s="105">
        <f t="shared" si="18"/>
        <v>4.3119999999999957E-2</v>
      </c>
      <c r="H153" s="105">
        <f t="shared" si="17"/>
        <v>0.11330576495754652</v>
      </c>
      <c r="J153" s="106"/>
      <c r="R153" s="124"/>
      <c r="S153" s="106"/>
    </row>
    <row r="154" spans="2:19" ht="15" customHeight="1">
      <c r="B154" s="105">
        <f t="shared" si="13"/>
        <v>3.0200000000000022</v>
      </c>
      <c r="C154" s="105">
        <f t="shared" si="14"/>
        <v>1.740713126617251E-2</v>
      </c>
      <c r="D154" s="105">
        <f t="shared" si="15"/>
        <v>6.221462559926063E-2</v>
      </c>
      <c r="F154" s="105">
        <f t="shared" si="16"/>
        <v>3.0200000000000022</v>
      </c>
      <c r="G154" s="105">
        <f t="shared" si="18"/>
        <v>4.2550765317310571E-2</v>
      </c>
      <c r="H154" s="105">
        <f t="shared" si="17"/>
        <v>0.11255539565319181</v>
      </c>
      <c r="J154" s="106"/>
      <c r="R154" s="124"/>
      <c r="S154" s="106"/>
    </row>
    <row r="155" spans="2:19" ht="15" customHeight="1">
      <c r="B155" s="105">
        <f t="shared" si="13"/>
        <v>3.0400000000000023</v>
      </c>
      <c r="C155" s="105">
        <f t="shared" si="14"/>
        <v>1.7178843490304685E-2</v>
      </c>
      <c r="D155" s="105">
        <f t="shared" si="15"/>
        <v>6.1805318851897086E-2</v>
      </c>
      <c r="F155" s="105">
        <f t="shared" si="16"/>
        <v>3.0400000000000023</v>
      </c>
      <c r="G155" s="105">
        <f t="shared" si="18"/>
        <v>4.1992728531855886E-2</v>
      </c>
      <c r="H155" s="105">
        <f t="shared" si="17"/>
        <v>0.11181489962915768</v>
      </c>
      <c r="J155" s="106"/>
      <c r="R155" s="124"/>
      <c r="S155" s="106"/>
    </row>
    <row r="156" spans="2:19" ht="15" customHeight="1">
      <c r="B156" s="105">
        <f t="shared" si="13"/>
        <v>3.0600000000000023</v>
      </c>
      <c r="C156" s="105">
        <f t="shared" si="14"/>
        <v>1.6955017301038038E-2</v>
      </c>
      <c r="D156" s="105">
        <f t="shared" si="15"/>
        <v>6.1401362519531752E-2</v>
      </c>
      <c r="F156" s="105">
        <f t="shared" si="16"/>
        <v>3.0600000000000023</v>
      </c>
      <c r="G156" s="105">
        <f t="shared" si="18"/>
        <v>4.144559784698186E-2</v>
      </c>
      <c r="H156" s="105">
        <f t="shared" si="17"/>
        <v>0.11108408329171221</v>
      </c>
      <c r="J156" s="106"/>
      <c r="R156" s="124"/>
      <c r="S156" s="106"/>
    </row>
    <row r="157" spans="2:19" ht="15" customHeight="1">
      <c r="B157" s="105">
        <f t="shared" si="13"/>
        <v>3.0800000000000023</v>
      </c>
      <c r="C157" s="105">
        <f t="shared" si="14"/>
        <v>1.6735537190082622E-2</v>
      </c>
      <c r="D157" s="105">
        <f t="shared" si="15"/>
        <v>6.1002652373301006E-2</v>
      </c>
      <c r="F157" s="105">
        <f t="shared" si="16"/>
        <v>3.0800000000000023</v>
      </c>
      <c r="G157" s="105">
        <f t="shared" si="18"/>
        <v>4.0909090909090839E-2</v>
      </c>
      <c r="H157" s="105">
        <f t="shared" si="17"/>
        <v>0.11036275807553224</v>
      </c>
      <c r="J157" s="106"/>
      <c r="R157" s="124"/>
      <c r="S157" s="106"/>
    </row>
    <row r="158" spans="2:19" ht="15" customHeight="1">
      <c r="B158" s="105">
        <f t="shared" si="13"/>
        <v>3.1000000000000023</v>
      </c>
      <c r="C158" s="105">
        <f t="shared" si="14"/>
        <v>1.652029136316335E-2</v>
      </c>
      <c r="D158" s="105">
        <f t="shared" si="15"/>
        <v>6.0609086874118423E-2</v>
      </c>
      <c r="F158" s="105">
        <f t="shared" si="16"/>
        <v>3.1000000000000023</v>
      </c>
      <c r="G158" s="105">
        <f t="shared" si="18"/>
        <v>4.0382934443288179E-2</v>
      </c>
      <c r="H158" s="105">
        <f t="shared" si="17"/>
        <v>0.10965074028149659</v>
      </c>
      <c r="J158" s="106"/>
      <c r="R158" s="124"/>
      <c r="S158" s="106"/>
    </row>
    <row r="159" spans="2:19" ht="15" customHeight="1">
      <c r="B159" s="105">
        <f t="shared" si="13"/>
        <v>3.1200000000000023</v>
      </c>
      <c r="C159" s="105">
        <f t="shared" si="14"/>
        <v>1.630917159763311E-2</v>
      </c>
      <c r="D159" s="105">
        <f t="shared" si="15"/>
        <v>6.0220567086463811E-2</v>
      </c>
      <c r="F159" s="105">
        <f t="shared" si="16"/>
        <v>3.1200000000000023</v>
      </c>
      <c r="G159" s="105">
        <f t="shared" si="18"/>
        <v>3.9866863905325373E-2</v>
      </c>
      <c r="H159" s="105">
        <f t="shared" si="17"/>
        <v>0.10894785092071774</v>
      </c>
      <c r="J159" s="106"/>
      <c r="R159" s="124"/>
      <c r="S159" s="106"/>
    </row>
    <row r="160" spans="2:19" ht="15" customHeight="1">
      <c r="B160" s="105">
        <f t="shared" si="13"/>
        <v>3.1400000000000023</v>
      </c>
      <c r="C160" s="105">
        <f t="shared" si="14"/>
        <v>1.6102073106414032E-2</v>
      </c>
      <c r="D160" s="105">
        <f t="shared" si="15"/>
        <v>5.9836996595467241E-2</v>
      </c>
      <c r="F160" s="105">
        <f t="shared" si="16"/>
        <v>3.1400000000000023</v>
      </c>
      <c r="G160" s="105">
        <f t="shared" si="18"/>
        <v>3.9360623149012064E-2</v>
      </c>
      <c r="H160" s="105">
        <f t="shared" si="17"/>
        <v>0.10825391556453483</v>
      </c>
      <c r="J160" s="106"/>
      <c r="R160" s="124"/>
      <c r="S160" s="106"/>
    </row>
    <row r="161" spans="2:19" ht="15" customHeight="1">
      <c r="B161" s="105">
        <f t="shared" si="13"/>
        <v>3.1600000000000024</v>
      </c>
      <c r="C161" s="105">
        <f t="shared" si="14"/>
        <v>1.5898894407947419E-2</v>
      </c>
      <c r="D161" s="105">
        <f t="shared" si="15"/>
        <v>5.9458281427141484E-2</v>
      </c>
      <c r="F161" s="105">
        <f t="shared" si="16"/>
        <v>3.1600000000000024</v>
      </c>
      <c r="G161" s="105">
        <f t="shared" si="18"/>
        <v>3.8863964108315906E-2</v>
      </c>
      <c r="H161" s="105">
        <f t="shared" si="17"/>
        <v>0.10756876420020232</v>
      </c>
      <c r="J161" s="106"/>
      <c r="R161" s="124"/>
      <c r="S161" s="106"/>
    </row>
    <row r="162" spans="2:19" ht="15" customHeight="1">
      <c r="B162" s="105">
        <f t="shared" si="13"/>
        <v>3.1800000000000024</v>
      </c>
      <c r="C162" s="105">
        <f t="shared" si="14"/>
        <v>1.5699537201851171E-2</v>
      </c>
      <c r="D162" s="105">
        <f t="shared" si="15"/>
        <v>5.9084329971624883E-2</v>
      </c>
      <c r="F162" s="105">
        <f t="shared" si="16"/>
        <v>3.1800000000000024</v>
      </c>
      <c r="G162" s="105">
        <f t="shared" si="18"/>
        <v>3.8376646493413963E-2</v>
      </c>
      <c r="H162" s="105">
        <f t="shared" si="17"/>
        <v>0.10689223109202493</v>
      </c>
      <c r="J162" s="106"/>
      <c r="R162" s="124"/>
      <c r="S162" s="106"/>
    </row>
    <row r="163" spans="2:19" ht="15" customHeight="1">
      <c r="B163" s="105">
        <f t="shared" si="13"/>
        <v>3.2000000000000024</v>
      </c>
      <c r="C163" s="105">
        <f t="shared" si="14"/>
        <v>1.5503906249999977E-2</v>
      </c>
      <c r="D163" s="105">
        <f t="shared" si="15"/>
        <v>5.8715052909302227E-2</v>
      </c>
      <c r="F163" s="105">
        <f t="shared" si="16"/>
        <v>3.2000000000000024</v>
      </c>
      <c r="G163" s="105">
        <f t="shared" si="18"/>
        <v>3.789843749999993E-2</v>
      </c>
      <c r="H163" s="105">
        <f t="shared" si="17"/>
        <v>0.10622415464769978</v>
      </c>
      <c r="J163" s="106"/>
      <c r="R163" s="124"/>
      <c r="S163" s="106"/>
    </row>
    <row r="164" spans="2:19" ht="15" customHeight="1">
      <c r="B164" s="105">
        <f t="shared" si="13"/>
        <v>3.2200000000000024</v>
      </c>
      <c r="C164" s="105">
        <f t="shared" si="14"/>
        <v>1.5311909262759903E-2</v>
      </c>
      <c r="D164" s="105">
        <f t="shared" si="15"/>
        <v>5.8350363139679236E-2</v>
      </c>
      <c r="F164" s="105">
        <f t="shared" si="16"/>
        <v>3.2200000000000024</v>
      </c>
      <c r="G164" s="105">
        <f t="shared" si="18"/>
        <v>3.7429111531190863E-2</v>
      </c>
      <c r="H164" s="105">
        <f t="shared" si="17"/>
        <v>0.10556437728963955</v>
      </c>
      <c r="J164" s="106"/>
      <c r="R164" s="124"/>
      <c r="S164" s="106"/>
    </row>
    <row r="165" spans="2:19" ht="15" customHeight="1">
      <c r="B165" s="105">
        <f t="shared" si="13"/>
        <v>3.2400000000000024</v>
      </c>
      <c r="C165" s="105">
        <f t="shared" si="14"/>
        <v>1.5123456790123434E-2</v>
      </c>
      <c r="D165" s="105">
        <f t="shared" si="15"/>
        <v>5.7990175712891077E-2</v>
      </c>
      <c r="F165" s="105">
        <f t="shared" si="16"/>
        <v>3.2400000000000024</v>
      </c>
      <c r="G165" s="105">
        <f t="shared" si="18"/>
        <v>3.6968449931412829E-2</v>
      </c>
      <c r="H165" s="105">
        <f t="shared" si="17"/>
        <v>0.10491274533106151</v>
      </c>
      <c r="J165" s="106"/>
      <c r="R165" s="124"/>
      <c r="S165" s="106"/>
    </row>
    <row r="166" spans="2:19" ht="15" customHeight="1">
      <c r="B166" s="105">
        <f t="shared" si="13"/>
        <v>3.2600000000000025</v>
      </c>
      <c r="C166" s="105">
        <f t="shared" si="14"/>
        <v>1.4938462117505344E-2</v>
      </c>
      <c r="D166" s="105">
        <f t="shared" si="15"/>
        <v>5.7634407763732236E-2</v>
      </c>
      <c r="F166" s="105">
        <f t="shared" si="16"/>
        <v>3.2600000000000025</v>
      </c>
      <c r="G166" s="105">
        <f t="shared" si="18"/>
        <v>3.6516240731679715E-2</v>
      </c>
      <c r="H166" s="105">
        <f t="shared" si="17"/>
        <v>0.10426910885663782</v>
      </c>
      <c r="J166" s="106"/>
      <c r="R166" s="124"/>
      <c r="S166" s="106"/>
    </row>
    <row r="167" spans="2:19" ht="15" customHeight="1">
      <c r="B167" s="105">
        <f t="shared" si="13"/>
        <v>3.2800000000000025</v>
      </c>
      <c r="C167" s="105">
        <f t="shared" si="14"/>
        <v>1.4756841165972614E-2</v>
      </c>
      <c r="D167" s="105">
        <f t="shared" si="15"/>
        <v>5.7282978448099729E-2</v>
      </c>
      <c r="F167" s="105">
        <f t="shared" si="16"/>
        <v>3.2800000000000025</v>
      </c>
      <c r="G167" s="105">
        <f t="shared" si="18"/>
        <v>3.6072278405710825E-2</v>
      </c>
      <c r="H167" s="105">
        <f t="shared" si="17"/>
        <v>0.10363332160751199</v>
      </c>
      <c r="J167" s="106"/>
      <c r="R167" s="124"/>
      <c r="S167" s="106"/>
    </row>
    <row r="168" spans="2:19" ht="15" customHeight="1">
      <c r="B168" s="105">
        <f t="shared" si="13"/>
        <v>3.3000000000000025</v>
      </c>
      <c r="C168" s="105">
        <f t="shared" si="14"/>
        <v>1.4578512396694193E-2</v>
      </c>
      <c r="D168" s="105">
        <f t="shared" si="15"/>
        <v>5.693580888174761E-2</v>
      </c>
      <c r="F168" s="105">
        <f t="shared" si="16"/>
        <v>3.3000000000000025</v>
      </c>
      <c r="G168" s="105">
        <f t="shared" si="18"/>
        <v>3.5636363636363577E-2</v>
      </c>
      <c r="H168" s="105">
        <f t="shared" si="17"/>
        <v>0.10300524087049677</v>
      </c>
      <c r="J168" s="106"/>
      <c r="R168" s="124"/>
      <c r="S168" s="106"/>
    </row>
    <row r="169" spans="2:19" ht="15" customHeight="1">
      <c r="B169" s="105">
        <f t="shared" si="13"/>
        <v>3.3200000000000025</v>
      </c>
      <c r="C169" s="105">
        <f t="shared" si="14"/>
        <v>1.440339671940773E-2</v>
      </c>
      <c r="D169" s="105">
        <f t="shared" si="15"/>
        <v>5.6592822081255156E-2</v>
      </c>
      <c r="F169" s="105">
        <f t="shared" si="16"/>
        <v>3.3200000000000025</v>
      </c>
      <c r="G169" s="105">
        <f t="shared" si="18"/>
        <v>3.5208303091885551E-2</v>
      </c>
      <c r="H169" s="105">
        <f t="shared" si="17"/>
        <v>0.10238472737127688</v>
      </c>
      <c r="J169" s="106"/>
      <c r="R169" s="124"/>
      <c r="S169" s="106"/>
    </row>
    <row r="170" spans="2:19" ht="15" customHeight="1">
      <c r="B170" s="105">
        <f t="shared" si="13"/>
        <v>3.3400000000000025</v>
      </c>
      <c r="C170" s="105">
        <f t="shared" si="14"/>
        <v>1.4231417404711514E-2</v>
      </c>
      <c r="D170" s="105">
        <f t="shared" si="15"/>
        <v>5.6253942907115904E-2</v>
      </c>
      <c r="F170" s="105">
        <f t="shared" si="16"/>
        <v>3.3400000000000025</v>
      </c>
      <c r="G170" s="105">
        <f t="shared" si="18"/>
        <v>3.4787909211517025E-2</v>
      </c>
      <c r="H170" s="105">
        <f t="shared" si="17"/>
        <v>0.1017716451714489</v>
      </c>
      <c r="J170" s="106"/>
      <c r="R170" s="124"/>
      <c r="S170" s="106"/>
    </row>
    <row r="171" spans="2:19" ht="15" customHeight="1">
      <c r="B171" s="105">
        <f t="shared" si="13"/>
        <v>3.3600000000000025</v>
      </c>
      <c r="C171" s="105">
        <f t="shared" si="14"/>
        <v>1.406249999999998E-2</v>
      </c>
      <c r="D171" s="105">
        <f t="shared" si="15"/>
        <v>5.5919098008859268E-2</v>
      </c>
      <c r="F171" s="105">
        <f t="shared" si="16"/>
        <v>3.3600000000000025</v>
      </c>
      <c r="G171" s="105">
        <f t="shared" si="18"/>
        <v>3.437499999999994E-2</v>
      </c>
      <c r="H171" s="105">
        <f t="shared" si="17"/>
        <v>0.10116586156923789</v>
      </c>
      <c r="J171" s="106"/>
      <c r="R171" s="124"/>
      <c r="S171" s="106"/>
    </row>
    <row r="172" spans="2:19" ht="15" customHeight="1">
      <c r="B172" s="105">
        <f t="shared" si="13"/>
        <v>3.3800000000000026</v>
      </c>
      <c r="C172" s="105">
        <f t="shared" si="14"/>
        <v>1.3896572248870817E-2</v>
      </c>
      <c r="D172" s="105">
        <f t="shared" si="15"/>
        <v>5.5588215772120447E-2</v>
      </c>
      <c r="F172" s="105">
        <f t="shared" si="16"/>
        <v>3.3800000000000026</v>
      </c>
      <c r="G172" s="105">
        <f t="shared" si="18"/>
        <v>3.3969398830573101E-2</v>
      </c>
      <c r="H172" s="105">
        <f t="shared" si="17"/>
        <v>0.10056724700373942</v>
      </c>
      <c r="J172" s="106"/>
      <c r="R172" s="124"/>
      <c r="S172" s="106"/>
    </row>
    <row r="173" spans="2:19" ht="15" customHeight="1">
      <c r="B173" s="105">
        <f t="shared" si="13"/>
        <v>3.4000000000000026</v>
      </c>
      <c r="C173" s="105">
        <f t="shared" si="14"/>
        <v>1.3733564013840811E-2</v>
      </c>
      <c r="D173" s="105">
        <f t="shared" si="15"/>
        <v>5.5261226267578574E-2</v>
      </c>
      <c r="F173" s="105">
        <f t="shared" si="16"/>
        <v>3.4000000000000026</v>
      </c>
      <c r="G173" s="105">
        <f t="shared" si="18"/>
        <v>3.3570934256055306E-2</v>
      </c>
      <c r="H173" s="105">
        <f t="shared" si="17"/>
        <v>9.9975674962540978E-2</v>
      </c>
      <c r="J173" s="106"/>
      <c r="R173" s="124"/>
      <c r="S173" s="106"/>
    </row>
    <row r="174" spans="2:19" ht="15" customHeight="1">
      <c r="B174" s="105">
        <f t="shared" si="13"/>
        <v>3.4200000000000026</v>
      </c>
      <c r="C174" s="105">
        <f t="shared" si="14"/>
        <v>1.3573407202216047E-2</v>
      </c>
      <c r="D174" s="105">
        <f t="shared" si="15"/>
        <v>5.4938061201686296E-2</v>
      </c>
      <c r="F174" s="105">
        <f t="shared" si="16"/>
        <v>3.4200000000000026</v>
      </c>
      <c r="G174" s="105">
        <f t="shared" si="18"/>
        <v>3.3179439827639212E-2</v>
      </c>
      <c r="H174" s="105">
        <f t="shared" si="17"/>
        <v>9.9391021892584586E-2</v>
      </c>
      <c r="J174" s="106"/>
      <c r="R174" s="124"/>
      <c r="S174" s="106"/>
    </row>
    <row r="175" spans="2:19" ht="15" customHeight="1">
      <c r="B175" s="105">
        <f t="shared" si="13"/>
        <v>3.4400000000000026</v>
      </c>
      <c r="C175" s="105">
        <f t="shared" si="14"/>
        <v>1.3416035694970234E-2</v>
      </c>
      <c r="D175" s="105">
        <f t="shared" si="15"/>
        <v>5.461865386911835E-2</v>
      </c>
      <c r="F175" s="105">
        <f t="shared" si="16"/>
        <v>3.4400000000000026</v>
      </c>
      <c r="G175" s="105">
        <f t="shared" si="18"/>
        <v>3.2794753921038339E-2</v>
      </c>
      <c r="H175" s="105">
        <f t="shared" si="17"/>
        <v>9.881316711413933E-2</v>
      </c>
      <c r="J175" s="106"/>
      <c r="R175" s="124"/>
      <c r="S175" s="106"/>
    </row>
    <row r="176" spans="2:19" ht="15" customHeight="1">
      <c r="B176" s="105">
        <f t="shared" si="13"/>
        <v>3.4600000000000026</v>
      </c>
      <c r="C176" s="105">
        <f t="shared" si="14"/>
        <v>1.3261385278492414E-2</v>
      </c>
      <c r="D176" s="105">
        <f t="shared" si="15"/>
        <v>5.4302939106869112E-2</v>
      </c>
      <c r="F176" s="105">
        <f t="shared" si="16"/>
        <v>3.4600000000000026</v>
      </c>
      <c r="G176" s="105">
        <f t="shared" si="18"/>
        <v>3.241671956964811E-2</v>
      </c>
      <c r="H176" s="105">
        <f t="shared" si="17"/>
        <v>9.8241992737757036E-2</v>
      </c>
      <c r="J176" s="106"/>
      <c r="R176" s="124"/>
      <c r="S176" s="106"/>
    </row>
    <row r="177" spans="2:19" ht="15" customHeight="1">
      <c r="B177" s="105">
        <f t="shared" si="13"/>
        <v>3.4800000000000026</v>
      </c>
      <c r="C177" s="105">
        <f t="shared" si="14"/>
        <v>1.3109393579072514E-2</v>
      </c>
      <c r="D177" s="105">
        <f t="shared" si="15"/>
        <v>5.3990853249933093E-2</v>
      </c>
      <c r="F177" s="105">
        <f t="shared" si="16"/>
        <v>3.4800000000000026</v>
      </c>
      <c r="G177" s="105">
        <f t="shared" si="18"/>
        <v>3.2045184304399468E-2</v>
      </c>
      <c r="H177" s="105">
        <f t="shared" si="17"/>
        <v>9.7677383584091754E-2</v>
      </c>
      <c r="J177" s="106"/>
      <c r="R177" s="124"/>
      <c r="S177" s="106"/>
    </row>
    <row r="178" spans="2:19" ht="15" customHeight="1">
      <c r="B178" s="105">
        <f t="shared" si="13"/>
        <v>3.5000000000000027</v>
      </c>
      <c r="C178" s="105">
        <f t="shared" si="14"/>
        <v>1.2959999999999982E-2</v>
      </c>
      <c r="D178" s="105">
        <f t="shared" si="15"/>
        <v>5.3682334088504882E-2</v>
      </c>
      <c r="F178" s="105">
        <f t="shared" si="16"/>
        <v>3.5000000000000027</v>
      </c>
      <c r="G178" s="105">
        <f t="shared" si="18"/>
        <v>3.1679999999999951E-2</v>
      </c>
      <c r="H178" s="105">
        <f t="shared" si="17"/>
        <v>9.7119227106468378E-2</v>
      </c>
      <c r="J178" s="106"/>
      <c r="R178" s="124"/>
      <c r="S178" s="106"/>
    </row>
    <row r="179" spans="2:19" ht="15" customHeight="1">
      <c r="B179" s="105">
        <f t="shared" si="13"/>
        <v>3.5200000000000027</v>
      </c>
      <c r="C179" s="105">
        <f t="shared" si="14"/>
        <v>1.2813145661157006E-2</v>
      </c>
      <c r="D179" s="105">
        <f t="shared" si="15"/>
        <v>5.3377320826638389E-2</v>
      </c>
      <c r="F179" s="105">
        <f t="shared" si="16"/>
        <v>3.5200000000000027</v>
      </c>
      <c r="G179" s="105">
        <f t="shared" si="18"/>
        <v>3.132102272727267E-2</v>
      </c>
      <c r="H179" s="105">
        <f t="shared" si="17"/>
        <v>9.65674133160907E-2</v>
      </c>
      <c r="J179" s="106"/>
      <c r="R179" s="124"/>
      <c r="S179" s="106"/>
    </row>
    <row r="180" spans="2:19" ht="15" customHeight="1">
      <c r="B180" s="105">
        <f t="shared" si="13"/>
        <v>3.5400000000000027</v>
      </c>
      <c r="C180" s="105">
        <f t="shared" si="14"/>
        <v>1.266877334099395E-2</v>
      </c>
      <c r="D180" s="105">
        <f t="shared" si="15"/>
        <v>5.3075754042307098E-2</v>
      </c>
      <c r="F180" s="105">
        <f t="shared" si="16"/>
        <v>3.5400000000000027</v>
      </c>
      <c r="G180" s="105">
        <f t="shared" si="18"/>
        <v>3.0968112611318533E-2</v>
      </c>
      <c r="H180" s="105">
        <f t="shared" si="17"/>
        <v>9.602183470978512E-2</v>
      </c>
      <c r="J180" s="106"/>
      <c r="R180" s="124"/>
      <c r="S180" s="106"/>
    </row>
    <row r="181" spans="2:19" ht="15" customHeight="1">
      <c r="B181" s="105">
        <f t="shared" si="13"/>
        <v>3.5600000000000027</v>
      </c>
      <c r="C181" s="105">
        <f t="shared" si="14"/>
        <v>1.2526827420780186E-2</v>
      </c>
      <c r="D181" s="105">
        <f t="shared" si="15"/>
        <v>5.2777575648810991E-2</v>
      </c>
      <c r="F181" s="105">
        <f t="shared" si="16"/>
        <v>3.5600000000000027</v>
      </c>
      <c r="G181" s="105">
        <f t="shared" si="18"/>
        <v>3.0621133695240447E-2</v>
      </c>
      <c r="H181" s="105">
        <f t="shared" si="17"/>
        <v>9.548238620017957E-2</v>
      </c>
      <c r="J181" s="106"/>
      <c r="R181" s="124"/>
      <c r="S181" s="106"/>
    </row>
    <row r="182" spans="2:19" ht="15" customHeight="1">
      <c r="B182" s="105">
        <f t="shared" si="13"/>
        <v>3.5800000000000027</v>
      </c>
      <c r="C182" s="105">
        <f t="shared" si="14"/>
        <v>1.2387253831028976E-2</v>
      </c>
      <c r="D182" s="105">
        <f t="shared" si="15"/>
        <v>5.2482728857476853E-2</v>
      </c>
      <c r="F182" s="105">
        <f t="shared" si="16"/>
        <v>3.5800000000000027</v>
      </c>
      <c r="G182" s="105">
        <f t="shared" si="18"/>
        <v>3.0279953809181935E-2</v>
      </c>
      <c r="H182" s="105">
        <f t="shared" si="17"/>
        <v>9.4948965048223297E-2</v>
      </c>
      <c r="J182" s="106"/>
      <c r="R182" s="124"/>
      <c r="S182" s="106"/>
    </row>
    <row r="183" spans="2:19" ht="15" customHeight="1">
      <c r="B183" s="105">
        <f t="shared" si="13"/>
        <v>3.6000000000000028</v>
      </c>
      <c r="C183" s="105">
        <f t="shared" si="14"/>
        <v>1.2249999999999981E-2</v>
      </c>
      <c r="D183" s="105">
        <f t="shared" si="15"/>
        <v>5.2191158141601975E-2</v>
      </c>
      <c r="F183" s="105">
        <f t="shared" si="16"/>
        <v>3.6000000000000028</v>
      </c>
      <c r="G183" s="105">
        <f t="shared" si="18"/>
        <v>2.9944444444444392E-2</v>
      </c>
      <c r="H183" s="105">
        <f t="shared" si="17"/>
        <v>9.4421470797955362E-2</v>
      </c>
      <c r="J183" s="106"/>
      <c r="R183" s="124"/>
      <c r="S183" s="106"/>
    </row>
    <row r="184" spans="2:19" ht="15" customHeight="1">
      <c r="B184" s="105">
        <f t="shared" si="13"/>
        <v>3.6200000000000028</v>
      </c>
      <c r="C184" s="105">
        <f t="shared" si="14"/>
        <v>1.2115014804187888E-2</v>
      </c>
      <c r="D184" s="105">
        <f t="shared" si="15"/>
        <v>5.1902809201593118E-2</v>
      </c>
      <c r="F184" s="105">
        <f t="shared" si="16"/>
        <v>3.6200000000000028</v>
      </c>
      <c r="G184" s="105">
        <f t="shared" si="18"/>
        <v>2.9614480632459278E-2</v>
      </c>
      <c r="H184" s="105">
        <f t="shared" si="17"/>
        <v>9.3899805213436272E-2</v>
      </c>
      <c r="J184" s="106"/>
      <c r="R184" s="124"/>
      <c r="S184" s="106"/>
    </row>
    <row r="185" spans="2:19" ht="15" customHeight="1">
      <c r="B185" s="105">
        <f t="shared" si="13"/>
        <v>3.6400000000000028</v>
      </c>
      <c r="C185" s="105">
        <f t="shared" si="14"/>
        <v>1.1982248520710042E-2</v>
      </c>
      <c r="D185" s="105">
        <f t="shared" si="15"/>
        <v>5.1617628931254704E-2</v>
      </c>
      <c r="F185" s="105">
        <f t="shared" si="16"/>
        <v>3.6400000000000028</v>
      </c>
      <c r="G185" s="105">
        <f t="shared" si="18"/>
        <v>2.9289940828402316E-2</v>
      </c>
      <c r="H185" s="105">
        <f t="shared" si="17"/>
        <v>9.3383872217758068E-2</v>
      </c>
      <c r="J185" s="106"/>
      <c r="R185" s="124"/>
      <c r="S185" s="106"/>
    </row>
    <row r="186" spans="2:19" ht="15" customHeight="1">
      <c r="B186" s="105">
        <f t="shared" si="13"/>
        <v>3.6600000000000028</v>
      </c>
      <c r="C186" s="105">
        <f t="shared" si="14"/>
        <v>1.1851652781510329E-2</v>
      </c>
      <c r="D186" s="105">
        <f t="shared" si="15"/>
        <v>5.1335565385182275E-2</v>
      </c>
      <c r="F186" s="105">
        <f t="shared" si="16"/>
        <v>3.6600000000000028</v>
      </c>
      <c r="G186" s="105">
        <f t="shared" si="18"/>
        <v>2.8970706799247462E-2</v>
      </c>
      <c r="H186" s="105">
        <f t="shared" si="17"/>
        <v>9.2873577834054449E-2</v>
      </c>
      <c r="J186" s="106"/>
      <c r="R186" s="124"/>
      <c r="S186" s="106"/>
    </row>
    <row r="187" spans="2:19" ht="15" customHeight="1">
      <c r="B187" s="105">
        <f t="shared" si="13"/>
        <v>3.6800000000000028</v>
      </c>
      <c r="C187" s="105">
        <f t="shared" si="14"/>
        <v>1.1723180529300551E-2</v>
      </c>
      <c r="D187" s="105">
        <f t="shared" si="15"/>
        <v>5.1056567747219332E-2</v>
      </c>
      <c r="F187" s="105">
        <f t="shared" si="16"/>
        <v>3.6800000000000028</v>
      </c>
      <c r="G187" s="105">
        <f t="shared" si="18"/>
        <v>2.8656663516068003E-2</v>
      </c>
      <c r="H187" s="105">
        <f t="shared" si="17"/>
        <v>9.2368830128434595E-2</v>
      </c>
      <c r="J187" s="106"/>
      <c r="R187" s="124"/>
      <c r="S187" s="106"/>
    </row>
    <row r="188" spans="2:19" ht="15" customHeight="1">
      <c r="B188" s="105">
        <f t="shared" si="13"/>
        <v>3.7000000000000028</v>
      </c>
      <c r="C188" s="105">
        <f t="shared" si="14"/>
        <v>1.1596785975164337E-2</v>
      </c>
      <c r="D188" s="105">
        <f t="shared" si="15"/>
        <v>5.0780586299937057E-2</v>
      </c>
      <c r="F188" s="105">
        <f t="shared" si="16"/>
        <v>3.7000000000000028</v>
      </c>
      <c r="G188" s="105">
        <f t="shared" si="18"/>
        <v>2.8347699050401704E-2</v>
      </c>
      <c r="H188" s="105">
        <f t="shared" si="17"/>
        <v>9.1869539154767393E-2</v>
      </c>
      <c r="J188" s="106"/>
      <c r="R188" s="124"/>
      <c r="S188" s="106"/>
    </row>
    <row r="189" spans="2:19" ht="15" customHeight="1">
      <c r="B189" s="105">
        <f t="shared" si="13"/>
        <v>3.7200000000000029</v>
      </c>
      <c r="C189" s="105">
        <f t="shared" si="14"/>
        <v>1.1472424557752324E-2</v>
      </c>
      <c r="D189" s="105">
        <f t="shared" si="15"/>
        <v>5.050757239509869E-2</v>
      </c>
      <c r="F189" s="105">
        <f t="shared" si="16"/>
        <v>3.7200000000000029</v>
      </c>
      <c r="G189" s="105">
        <f t="shared" si="18"/>
        <v>2.8043704474505673E-2</v>
      </c>
      <c r="H189" s="105">
        <f t="shared" si="17"/>
        <v>9.1375616901247125E-2</v>
      </c>
      <c r="J189" s="106"/>
      <c r="R189" s="124"/>
      <c r="S189" s="106"/>
    </row>
    <row r="190" spans="2:19" ht="15" customHeight="1">
      <c r="B190" s="105">
        <f t="shared" si="13"/>
        <v>3.7400000000000029</v>
      </c>
      <c r="C190" s="105">
        <f t="shared" si="14"/>
        <v>1.1350052904000669E-2</v>
      </c>
      <c r="D190" s="105">
        <f t="shared" si="15"/>
        <v>5.0237478425071418E-2</v>
      </c>
      <c r="F190" s="105">
        <f t="shared" si="16"/>
        <v>3.7400000000000029</v>
      </c>
      <c r="G190" s="105">
        <f t="shared" si="18"/>
        <v>2.7744573765334964E-2</v>
      </c>
      <c r="H190" s="105">
        <f t="shared" si="17"/>
        <v>9.0886977238673616E-2</v>
      </c>
      <c r="J190" s="106"/>
      <c r="R190" s="124"/>
      <c r="S190" s="106"/>
    </row>
    <row r="191" spans="2:19" ht="15" customHeight="1">
      <c r="B191" s="105">
        <f t="shared" si="13"/>
        <v>3.7600000000000029</v>
      </c>
      <c r="C191" s="105">
        <f t="shared" si="14"/>
        <v>1.1229628791308267E-2</v>
      </c>
      <c r="D191" s="105">
        <f t="shared" si="15"/>
        <v>4.9970257795150831E-2</v>
      </c>
      <c r="F191" s="105">
        <f t="shared" si="16"/>
        <v>3.7600000000000029</v>
      </c>
      <c r="G191" s="105">
        <f t="shared" si="18"/>
        <v>2.7450203712086868E-2</v>
      </c>
      <c r="H191" s="105">
        <f t="shared" si="17"/>
        <v>9.0403535870382787E-2</v>
      </c>
      <c r="J191" s="106"/>
      <c r="R191" s="124"/>
      <c r="S191" s="106"/>
    </row>
    <row r="192" spans="2:19" ht="15" customHeight="1">
      <c r="B192" s="105">
        <f t="shared" si="13"/>
        <v>3.7800000000000029</v>
      </c>
      <c r="C192" s="105">
        <f t="shared" si="14"/>
        <v>1.1111111111111094E-2</v>
      </c>
      <c r="D192" s="105">
        <f t="shared" si="15"/>
        <v>4.9705864896763784E-2</v>
      </c>
      <c r="F192" s="105">
        <f t="shared" si="16"/>
        <v>3.7800000000000029</v>
      </c>
      <c r="G192" s="105">
        <f t="shared" si="18"/>
        <v>2.7160493827160445E-2</v>
      </c>
      <c r="H192" s="105">
        <f t="shared" si="17"/>
        <v>8.9925210283767015E-2</v>
      </c>
      <c r="J192" s="106"/>
      <c r="R192" s="124"/>
      <c r="S192" s="106"/>
    </row>
    <row r="193" spans="2:19" ht="15" customHeight="1">
      <c r="B193" s="105">
        <f t="shared" si="13"/>
        <v>3.8000000000000029</v>
      </c>
      <c r="C193" s="105">
        <f t="shared" si="14"/>
        <v>1.0994459833794998E-2</v>
      </c>
      <c r="D193" s="105">
        <f t="shared" si="15"/>
        <v>4.9444255081517667E-2</v>
      </c>
      <c r="F193" s="105">
        <f t="shared" si="16"/>
        <v>3.8000000000000029</v>
      </c>
      <c r="G193" s="105">
        <f t="shared" si="18"/>
        <v>2.6875346260387765E-2</v>
      </c>
      <c r="H193" s="105">
        <f t="shared" si="17"/>
        <v>8.9451919703326124E-2</v>
      </c>
      <c r="J193" s="106"/>
      <c r="R193" s="124"/>
      <c r="S193" s="106"/>
    </row>
    <row r="194" spans="2:19" ht="15" customHeight="1">
      <c r="B194" s="105">
        <f t="shared" si="13"/>
        <v>3.8200000000000029</v>
      </c>
      <c r="C194" s="105">
        <f t="shared" si="14"/>
        <v>1.0879635974891022E-2</v>
      </c>
      <c r="D194" s="105">
        <f t="shared" si="15"/>
        <v>4.9185384636064686E-2</v>
      </c>
      <c r="F194" s="105">
        <f t="shared" si="16"/>
        <v>3.8200000000000029</v>
      </c>
      <c r="G194" s="105">
        <f t="shared" si="18"/>
        <v>2.6594665716400272E-2</v>
      </c>
      <c r="H194" s="105">
        <f t="shared" si="17"/>
        <v>8.8983585045193547E-2</v>
      </c>
      <c r="J194" s="106"/>
      <c r="R194" s="124"/>
      <c r="S194" s="106"/>
    </row>
    <row r="195" spans="2:19" ht="15" customHeight="1">
      <c r="B195" s="105">
        <f t="shared" si="13"/>
        <v>3.840000000000003</v>
      </c>
      <c r="C195" s="105">
        <f t="shared" si="14"/>
        <v>1.0766601562499985E-2</v>
      </c>
      <c r="D195" s="105">
        <f t="shared" si="15"/>
        <v>4.8929210757751862E-2</v>
      </c>
      <c r="F195" s="105">
        <f t="shared" si="16"/>
        <v>3.840000000000003</v>
      </c>
      <c r="G195" s="105">
        <f t="shared" si="18"/>
        <v>2.6318359374999954E-2</v>
      </c>
      <c r="H195" s="105">
        <f t="shared" si="17"/>
        <v>8.8520128873083165E-2</v>
      </c>
      <c r="J195" s="106"/>
      <c r="R195" s="124"/>
      <c r="S195" s="106"/>
    </row>
    <row r="196" spans="2:19" ht="15" customHeight="1">
      <c r="B196" s="105">
        <f t="shared" ref="B196:B259" si="19">B195+0.02</f>
        <v>3.860000000000003</v>
      </c>
      <c r="C196" s="105">
        <f t="shared" ref="C196:C259" si="20">IF(B196=0,M200,IF(AND(B196&gt;0,B196&lt;=$M$9),$M$7+(($M$8-$M$7)/($M$9-$B$3)*(B196-$B$3)),IF(AND(B196&gt;$M$9,B196&lt;=$M$10),$M$8,IF(AND(B196&gt;$M$10,B196&lt;=$M$11),$M$12/B196,IF(B196&gt;$M$11,$M$13/B196^2)))))</f>
        <v>1.0655319605895445E-2</v>
      </c>
      <c r="D196" s="105">
        <f t="shared" ref="D196:D259" si="21">(B196/(2*PI()))*(C196*9.81)*$M$15</f>
        <v>4.8675691531027757E-2</v>
      </c>
      <c r="F196" s="105">
        <f t="shared" ref="F196:F259" si="22">F195+0.02</f>
        <v>3.860000000000003</v>
      </c>
      <c r="G196" s="105">
        <f t="shared" si="18"/>
        <v>2.604633681441108E-2</v>
      </c>
      <c r="H196" s="105">
        <f t="shared" ref="H196:H259" si="23">(F196/(2*PI()))*(G196*9.81)*$P$15</f>
        <v>8.8061475355606031E-2</v>
      </c>
      <c r="J196" s="106"/>
      <c r="R196" s="124"/>
      <c r="S196" s="106"/>
    </row>
    <row r="197" spans="2:19" ht="15" customHeight="1">
      <c r="B197" s="105">
        <f t="shared" si="19"/>
        <v>3.880000000000003</v>
      </c>
      <c r="C197" s="105">
        <f t="shared" si="20"/>
        <v>1.0545754065256653E-2</v>
      </c>
      <c r="D197" s="105">
        <f t="shared" si="21"/>
        <v>4.8424785904579146E-2</v>
      </c>
      <c r="F197" s="105">
        <f t="shared" si="22"/>
        <v>3.880000000000003</v>
      </c>
      <c r="G197" s="105">
        <f t="shared" si="18"/>
        <v>2.5778509937294036E-2</v>
      </c>
      <c r="H197" s="105">
        <f t="shared" si="23"/>
        <v>8.760755022490703E-2</v>
      </c>
      <c r="J197" s="106"/>
      <c r="R197" s="124"/>
      <c r="S197" s="106"/>
    </row>
    <row r="198" spans="2:19" ht="15" customHeight="1">
      <c r="B198" s="105">
        <f t="shared" si="19"/>
        <v>3.900000000000003</v>
      </c>
      <c r="C198" s="105">
        <f t="shared" si="20"/>
        <v>1.0437869822485192E-2</v>
      </c>
      <c r="D198" s="105">
        <f t="shared" si="21"/>
        <v>4.817645366917106E-2</v>
      </c>
      <c r="F198" s="105">
        <f t="shared" si="22"/>
        <v>3.900000000000003</v>
      </c>
      <c r="G198" s="105">
        <f t="shared" si="18"/>
        <v>2.551479289940824E-2</v>
      </c>
      <c r="H198" s="105">
        <f t="shared" si="23"/>
        <v>8.7158280736574195E-2</v>
      </c>
      <c r="J198" s="106"/>
      <c r="R198" s="124"/>
      <c r="S198" s="106"/>
    </row>
    <row r="199" spans="2:19" ht="15" customHeight="1">
      <c r="B199" s="105">
        <f t="shared" si="19"/>
        <v>3.920000000000003</v>
      </c>
      <c r="C199" s="105">
        <f t="shared" si="20"/>
        <v>1.033163265306121E-2</v>
      </c>
      <c r="D199" s="105">
        <f t="shared" si="21"/>
        <v>4.7930655436165079E-2</v>
      </c>
      <c r="F199" s="105">
        <f t="shared" si="22"/>
        <v>3.920000000000003</v>
      </c>
      <c r="G199" s="105">
        <f t="shared" si="18"/>
        <v>2.5255102040816282E-2</v>
      </c>
      <c r="H199" s="105">
        <f t="shared" si="23"/>
        <v>8.6713595630775339E-2</v>
      </c>
      <c r="J199" s="106"/>
      <c r="R199" s="124"/>
      <c r="S199" s="106"/>
    </row>
    <row r="200" spans="2:19" ht="15" customHeight="1">
      <c r="B200" s="105">
        <f t="shared" si="19"/>
        <v>3.9400000000000031</v>
      </c>
      <c r="C200" s="105">
        <f t="shared" si="20"/>
        <v>1.0227009198897147E-2</v>
      </c>
      <c r="D200" s="105">
        <f t="shared" si="21"/>
        <v>4.7687352616692158E-2</v>
      </c>
      <c r="F200" s="105">
        <f t="shared" si="22"/>
        <v>3.9400000000000031</v>
      </c>
      <c r="G200" s="105">
        <f t="shared" si="18"/>
        <v>2.4999355819526354E-2</v>
      </c>
      <c r="H200" s="105">
        <f t="shared" si="23"/>
        <v>8.6273425094578499E-2</v>
      </c>
      <c r="J200" s="106"/>
      <c r="R200" s="124"/>
      <c r="S200" s="106"/>
    </row>
    <row r="201" spans="2:19" ht="15" customHeight="1">
      <c r="B201" s="105">
        <f t="shared" si="19"/>
        <v>3.9600000000000031</v>
      </c>
      <c r="C201" s="105">
        <f t="shared" si="20"/>
        <v>1.0123966942148746E-2</v>
      </c>
      <c r="D201" s="105">
        <f t="shared" si="21"/>
        <v>4.744650740145636E-2</v>
      </c>
      <c r="F201" s="105">
        <f t="shared" si="22"/>
        <v>3.9600000000000031</v>
      </c>
      <c r="G201" s="105">
        <f t="shared" si="18"/>
        <v>2.4747474747474706E-2</v>
      </c>
      <c r="H201" s="105">
        <f t="shared" si="23"/>
        <v>8.5837700725413968E-2</v>
      </c>
      <c r="J201" s="106"/>
      <c r="R201" s="124"/>
      <c r="S201" s="106"/>
    </row>
    <row r="202" spans="2:19" ht="15" customHeight="1">
      <c r="B202" s="105">
        <f t="shared" si="19"/>
        <v>3.9800000000000031</v>
      </c>
      <c r="C202" s="105">
        <f t="shared" si="20"/>
        <v>1.0022474179944937E-2</v>
      </c>
      <c r="D202" s="105">
        <f t="shared" si="21"/>
        <v>4.7208082741147524E-2</v>
      </c>
      <c r="F202" s="105">
        <f t="shared" si="22"/>
        <v>3.9800000000000031</v>
      </c>
      <c r="G202" s="105">
        <f t="shared" ref="G202:G265" si="24">IF(F202=0,T217,IF(AND(F202&gt;0,F202&lt;=$P$9),$P$7+(($P$8-$P$7)/($P$9-$F$3)*(F202-$F$3)),IF(AND(F202&gt;$P$9,F202&lt;=$P$10),$P$8,IF(AND(F202&gt;$P$10,F202&lt;=$P$11),$P$12/F202,IF(F202&gt;$P$11,$P$13/F202^2)))))</f>
        <v>2.4499381328754281E-2</v>
      </c>
      <c r="H202" s="105">
        <f t="shared" si="23"/>
        <v>8.540635549563802E-2</v>
      </c>
      <c r="J202" s="106"/>
      <c r="R202" s="124"/>
      <c r="S202" s="106"/>
    </row>
    <row r="203" spans="2:19" ht="15" customHeight="1">
      <c r="B203" s="105">
        <f t="shared" si="19"/>
        <v>4.0000000000000027</v>
      </c>
      <c r="C203" s="105">
        <f t="shared" si="20"/>
        <v>9.9224999999999869E-3</v>
      </c>
      <c r="D203" s="105">
        <f t="shared" si="21"/>
        <v>4.6972042327441781E-2</v>
      </c>
      <c r="F203" s="105">
        <f t="shared" si="22"/>
        <v>4.0000000000000027</v>
      </c>
      <c r="G203" s="105">
        <f t="shared" si="24"/>
        <v>2.4254999999999964E-2</v>
      </c>
      <c r="H203" s="105">
        <f t="shared" si="23"/>
        <v>8.4979323718159847E-2</v>
      </c>
      <c r="J203" s="106"/>
      <c r="R203" s="124"/>
      <c r="S203" s="106"/>
    </row>
    <row r="204" spans="2:19" ht="15" customHeight="1">
      <c r="B204" s="105">
        <f t="shared" si="19"/>
        <v>4.0200000000000022</v>
      </c>
      <c r="C204" s="105">
        <f t="shared" si="20"/>
        <v>9.8240142570728359E-3</v>
      </c>
      <c r="D204" s="105">
        <f t="shared" si="21"/>
        <v>4.6738350574568946E-2</v>
      </c>
      <c r="F204" s="105">
        <f t="shared" si="22"/>
        <v>4.0200000000000022</v>
      </c>
      <c r="G204" s="105">
        <f t="shared" si="24"/>
        <v>2.4014257072844703E-2</v>
      </c>
      <c r="H204" s="105">
        <f t="shared" si="23"/>
        <v>8.4556541013094372E-2</v>
      </c>
      <c r="J204" s="106"/>
      <c r="R204" s="124"/>
      <c r="S204" s="106"/>
    </row>
    <row r="205" spans="2:19" ht="15" customHeight="1">
      <c r="B205" s="105">
        <f t="shared" si="19"/>
        <v>4.0400000000000018</v>
      </c>
      <c r="C205" s="105">
        <f t="shared" si="20"/>
        <v>9.7269875502401654E-3</v>
      </c>
      <c r="D205" s="105">
        <f t="shared" si="21"/>
        <v>4.6506972601427526E-2</v>
      </c>
      <c r="F205" s="105">
        <f t="shared" si="22"/>
        <v>4.0400000000000018</v>
      </c>
      <c r="G205" s="105">
        <f t="shared" si="24"/>
        <v>2.3777080678364839E-2</v>
      </c>
      <c r="H205" s="105">
        <f t="shared" si="23"/>
        <v>8.4137944275405788E-2</v>
      </c>
      <c r="J205" s="106"/>
      <c r="R205" s="124"/>
      <c r="S205" s="106"/>
    </row>
    <row r="206" spans="2:19" ht="15" customHeight="1">
      <c r="B206" s="105">
        <f t="shared" si="19"/>
        <v>4.0600000000000014</v>
      </c>
      <c r="C206" s="105">
        <f t="shared" si="20"/>
        <v>9.6313912009512431E-3</v>
      </c>
      <c r="D206" s="105">
        <f t="shared" si="21"/>
        <v>4.6277874214228382E-2</v>
      </c>
      <c r="F206" s="105">
        <f t="shared" si="22"/>
        <v>4.0600000000000014</v>
      </c>
      <c r="G206" s="105">
        <f t="shared" si="24"/>
        <v>2.3543400713436368E-2</v>
      </c>
      <c r="H206" s="105">
        <f t="shared" si="23"/>
        <v>8.3723471643507283E-2</v>
      </c>
      <c r="J206" s="106"/>
      <c r="R206" s="124"/>
      <c r="S206" s="106"/>
    </row>
    <row r="207" spans="2:19" ht="15" customHeight="1">
      <c r="B207" s="105">
        <f t="shared" si="19"/>
        <v>4.080000000000001</v>
      </c>
      <c r="C207" s="105">
        <f t="shared" si="20"/>
        <v>9.537197231833907E-3</v>
      </c>
      <c r="D207" s="105">
        <f t="shared" si="21"/>
        <v>4.6051021889648831E-2</v>
      </c>
      <c r="F207" s="105">
        <f t="shared" si="22"/>
        <v>4.080000000000001</v>
      </c>
      <c r="G207" s="105">
        <f t="shared" si="24"/>
        <v>2.3313148788927322E-2</v>
      </c>
      <c r="H207" s="105">
        <f t="shared" si="23"/>
        <v>8.3313062468784199E-2</v>
      </c>
      <c r="J207" s="106"/>
      <c r="R207" s="124"/>
      <c r="S207" s="106"/>
    </row>
    <row r="208" spans="2:19" ht="15" customHeight="1">
      <c r="B208" s="105">
        <f t="shared" si="19"/>
        <v>4.1000000000000005</v>
      </c>
      <c r="C208" s="105">
        <f t="shared" si="20"/>
        <v>9.4443783462224845E-3</v>
      </c>
      <c r="D208" s="105">
        <f t="shared" si="21"/>
        <v>4.5826382758479813E-2</v>
      </c>
      <c r="F208" s="105">
        <f t="shared" si="22"/>
        <v>4.1000000000000005</v>
      </c>
      <c r="G208" s="105">
        <f t="shared" si="24"/>
        <v>2.3086258179654956E-2</v>
      </c>
      <c r="H208" s="105">
        <f t="shared" si="23"/>
        <v>8.2906657286009641E-2</v>
      </c>
      <c r="J208" s="106"/>
      <c r="R208" s="124"/>
      <c r="S208" s="106"/>
    </row>
    <row r="209" spans="2:19" ht="15" customHeight="1">
      <c r="B209" s="105">
        <f t="shared" si="19"/>
        <v>4.12</v>
      </c>
      <c r="C209" s="105">
        <f t="shared" si="20"/>
        <v>9.3529079083796793E-3</v>
      </c>
      <c r="D209" s="105">
        <f t="shared" si="21"/>
        <v>4.5603924589749344E-2</v>
      </c>
      <c r="F209" s="105">
        <f t="shared" si="22"/>
        <v>4.12</v>
      </c>
      <c r="G209" s="105">
        <f t="shared" si="24"/>
        <v>2.2862663776039207E-2</v>
      </c>
      <c r="H209" s="105">
        <f t="shared" si="23"/>
        <v>8.2504197784621258E-2</v>
      </c>
      <c r="J209" s="106"/>
      <c r="R209" s="124"/>
      <c r="S209" s="106"/>
    </row>
    <row r="210" spans="2:19" ht="15" customHeight="1">
      <c r="B210" s="105">
        <f t="shared" si="19"/>
        <v>4.1399999999999997</v>
      </c>
      <c r="C210" s="105">
        <f t="shared" si="20"/>
        <v>9.2627599243856346E-3</v>
      </c>
      <c r="D210" s="105">
        <f t="shared" si="21"/>
        <v>4.5383615775306106E-2</v>
      </c>
      <c r="F210" s="105">
        <f t="shared" si="22"/>
        <v>4.1399999999999997</v>
      </c>
      <c r="G210" s="105">
        <f t="shared" si="24"/>
        <v>2.2642302037387103E-2</v>
      </c>
      <c r="H210" s="105">
        <f t="shared" si="23"/>
        <v>8.2105626780830818E-2</v>
      </c>
      <c r="J210" s="106"/>
      <c r="R210" s="124"/>
      <c r="S210" s="106"/>
    </row>
    <row r="211" spans="2:19" ht="15" customHeight="1">
      <c r="B211" s="105">
        <f t="shared" si="19"/>
        <v>4.1599999999999993</v>
      </c>
      <c r="C211" s="105">
        <f t="shared" si="20"/>
        <v>9.1739090236686426E-3</v>
      </c>
      <c r="D211" s="105">
        <f t="shared" si="21"/>
        <v>4.5165425314847907E-2</v>
      </c>
      <c r="F211" s="105">
        <f t="shared" si="22"/>
        <v>4.1599999999999993</v>
      </c>
      <c r="G211" s="105">
        <f t="shared" si="24"/>
        <v>2.2425110946745565E-2</v>
      </c>
      <c r="H211" s="105">
        <f t="shared" si="23"/>
        <v>8.1710888190538358E-2</v>
      </c>
      <c r="J211" s="106"/>
      <c r="R211" s="124"/>
      <c r="S211" s="106"/>
    </row>
    <row r="212" spans="2:19" ht="15" customHeight="1">
      <c r="B212" s="105">
        <f t="shared" si="19"/>
        <v>4.1799999999999988</v>
      </c>
      <c r="C212" s="105">
        <f t="shared" si="20"/>
        <v>9.0863304411529094E-3</v>
      </c>
      <c r="D212" s="105">
        <f t="shared" si="21"/>
        <v>4.494932280137974E-2</v>
      </c>
      <c r="F212" s="105">
        <f t="shared" si="22"/>
        <v>4.1799999999999988</v>
      </c>
      <c r="G212" s="105">
        <f t="shared" si="24"/>
        <v>2.2211029967262663E-2</v>
      </c>
      <c r="H212" s="105">
        <f t="shared" si="23"/>
        <v>8.1319927003023845E-2</v>
      </c>
      <c r="J212" s="106"/>
      <c r="R212" s="124"/>
      <c r="S212" s="106"/>
    </row>
    <row r="213" spans="2:19" ht="15" customHeight="1">
      <c r="B213" s="105">
        <f t="shared" si="19"/>
        <v>4.1999999999999984</v>
      </c>
      <c r="C213" s="105">
        <f t="shared" si="20"/>
        <v>9.000000000000008E-3</v>
      </c>
      <c r="D213" s="105">
        <f t="shared" si="21"/>
        <v>4.4735278407087464E-2</v>
      </c>
      <c r="F213" s="105">
        <f t="shared" si="22"/>
        <v>4.1999999999999984</v>
      </c>
      <c r="G213" s="105">
        <f t="shared" si="24"/>
        <v>2.2000000000000013E-2</v>
      </c>
      <c r="H213" s="105">
        <f t="shared" si="23"/>
        <v>8.0932689255390405E-2</v>
      </c>
      <c r="J213" s="106"/>
      <c r="R213" s="124"/>
      <c r="S213" s="106"/>
    </row>
    <row r="214" spans="2:19" ht="15" customHeight="1">
      <c r="B214" s="105">
        <f t="shared" si="19"/>
        <v>4.219999999999998</v>
      </c>
      <c r="C214" s="105">
        <f t="shared" si="20"/>
        <v>8.9148940949215078E-3</v>
      </c>
      <c r="D214" s="105">
        <f t="shared" si="21"/>
        <v>4.4523262869613119E-2</v>
      </c>
      <c r="F214" s="105">
        <f t="shared" si="22"/>
        <v>4.219999999999998</v>
      </c>
      <c r="G214" s="105">
        <f t="shared" si="24"/>
        <v>2.1791963343141457E-2</v>
      </c>
      <c r="H214" s="105">
        <f t="shared" si="23"/>
        <v>8.0549122007734536E-2</v>
      </c>
      <c r="J214" s="106"/>
      <c r="R214" s="124"/>
      <c r="S214" s="106"/>
    </row>
    <row r="215" spans="2:19" ht="15" customHeight="1">
      <c r="B215" s="105">
        <f t="shared" si="19"/>
        <v>4.2399999999999975</v>
      </c>
      <c r="C215" s="105">
        <f t="shared" si="20"/>
        <v>8.8309896760413072E-3</v>
      </c>
      <c r="D215" s="105">
        <f t="shared" si="21"/>
        <v>4.4313247478718731E-2</v>
      </c>
      <c r="F215" s="105">
        <f t="shared" si="22"/>
        <v>4.2399999999999975</v>
      </c>
      <c r="G215" s="105">
        <f t="shared" si="24"/>
        <v>2.1586863652545411E-2</v>
      </c>
      <c r="H215" s="105">
        <f t="shared" si="23"/>
        <v>8.0169173319018822E-2</v>
      </c>
      <c r="J215" s="106"/>
      <c r="R215" s="124"/>
      <c r="S215" s="106"/>
    </row>
    <row r="216" spans="2:19" ht="15" customHeight="1">
      <c r="B216" s="105">
        <f t="shared" si="19"/>
        <v>4.2599999999999971</v>
      </c>
      <c r="C216" s="105">
        <f t="shared" si="20"/>
        <v>8.7482642332870585E-3</v>
      </c>
      <c r="D216" s="105">
        <f t="shared" si="21"/>
        <v>4.410520406332568E-2</v>
      </c>
      <c r="F216" s="105">
        <f t="shared" si="22"/>
        <v>4.2599999999999971</v>
      </c>
      <c r="G216" s="105">
        <f t="shared" si="24"/>
        <v>2.1384645903590582E-2</v>
      </c>
      <c r="H216" s="105">
        <f t="shared" si="23"/>
        <v>7.979279222362437E-2</v>
      </c>
      <c r="J216" s="106"/>
      <c r="R216" s="124"/>
      <c r="S216" s="106"/>
    </row>
    <row r="217" spans="2:19" ht="15" customHeight="1">
      <c r="B217" s="105">
        <f t="shared" si="19"/>
        <v>4.2799999999999967</v>
      </c>
      <c r="C217" s="105">
        <f t="shared" si="20"/>
        <v>8.6666957812909558E-3</v>
      </c>
      <c r="D217" s="105">
        <f t="shared" si="21"/>
        <v>4.3899104978917615E-2</v>
      </c>
      <c r="F217" s="105">
        <f t="shared" si="22"/>
        <v>4.2799999999999967</v>
      </c>
      <c r="G217" s="105">
        <f t="shared" si="24"/>
        <v>2.1185256354266775E-2</v>
      </c>
      <c r="H217" s="105">
        <f t="shared" si="23"/>
        <v>7.9419928708560697E-2</v>
      </c>
      <c r="J217" s="106"/>
      <c r="R217" s="124"/>
      <c r="S217" s="106"/>
    </row>
    <row r="218" spans="2:19" ht="15" customHeight="1">
      <c r="B218" s="105">
        <f t="shared" si="19"/>
        <v>4.2999999999999963</v>
      </c>
      <c r="C218" s="105">
        <f t="shared" si="20"/>
        <v>8.5862628447809786E-3</v>
      </c>
      <c r="D218" s="105">
        <f t="shared" si="21"/>
        <v>4.3694923095294755E-2</v>
      </c>
      <c r="F218" s="105">
        <f t="shared" si="22"/>
        <v>4.2999999999999963</v>
      </c>
      <c r="G218" s="105">
        <f t="shared" si="24"/>
        <v>2.0988642509464611E-2</v>
      </c>
      <c r="H218" s="105">
        <f t="shared" si="23"/>
        <v>7.9050533691311611E-2</v>
      </c>
      <c r="J218" s="106"/>
      <c r="R218" s="124"/>
      <c r="S218" s="106"/>
    </row>
    <row r="219" spans="2:19" ht="15" customHeight="1">
      <c r="B219" s="105">
        <f t="shared" si="19"/>
        <v>4.3199999999999958</v>
      </c>
      <c r="C219" s="105">
        <f t="shared" si="20"/>
        <v>8.5069444444444628E-3</v>
      </c>
      <c r="D219" s="105">
        <f t="shared" si="21"/>
        <v>4.3492631784668397E-2</v>
      </c>
      <c r="F219" s="105">
        <f t="shared" si="22"/>
        <v>4.3199999999999958</v>
      </c>
      <c r="G219" s="105">
        <f t="shared" si="24"/>
        <v>2.0794753086419791E-2</v>
      </c>
      <c r="H219" s="105">
        <f t="shared" si="23"/>
        <v>7.8684558998296281E-2</v>
      </c>
      <c r="J219" s="106"/>
      <c r="R219" s="124"/>
      <c r="S219" s="106"/>
    </row>
    <row r="220" spans="2:19" ht="15" customHeight="1">
      <c r="B220" s="105">
        <f t="shared" si="19"/>
        <v>4.3399999999999954</v>
      </c>
      <c r="C220" s="105">
        <f t="shared" si="20"/>
        <v>8.4287200832466359E-3</v>
      </c>
      <c r="D220" s="105">
        <f t="shared" si="21"/>
        <v>4.3292204910084668E-2</v>
      </c>
      <c r="F220" s="105">
        <f t="shared" si="22"/>
        <v>4.3399999999999954</v>
      </c>
      <c r="G220" s="105">
        <f t="shared" si="24"/>
        <v>2.060353798126955E-2</v>
      </c>
      <c r="H220" s="105">
        <f t="shared" si="23"/>
        <v>7.832195734392626E-2</v>
      </c>
      <c r="J220" s="106"/>
      <c r="R220" s="124"/>
      <c r="S220" s="106"/>
    </row>
    <row r="221" spans="2:19" ht="15" customHeight="1">
      <c r="B221" s="105">
        <f t="shared" si="19"/>
        <v>4.359999999999995</v>
      </c>
      <c r="C221" s="105">
        <f t="shared" si="20"/>
        <v>8.3515697331874618E-3</v>
      </c>
      <c r="D221" s="105">
        <f t="shared" si="21"/>
        <v>4.3093616814166853E-2</v>
      </c>
      <c r="F221" s="105">
        <f t="shared" si="22"/>
        <v>4.359999999999995</v>
      </c>
      <c r="G221" s="105">
        <f t="shared" si="24"/>
        <v>2.0414948236680459E-2</v>
      </c>
      <c r="H221" s="105">
        <f t="shared" si="23"/>
        <v>7.7962682310238521E-2</v>
      </c>
      <c r="J221" s="106"/>
      <c r="R221" s="124"/>
      <c r="S221" s="106"/>
    </row>
    <row r="222" spans="2:19" ht="15" customHeight="1">
      <c r="B222" s="105">
        <f t="shared" si="19"/>
        <v>4.3799999999999946</v>
      </c>
      <c r="C222" s="105">
        <f t="shared" si="20"/>
        <v>8.2754738224807868E-3</v>
      </c>
      <c r="D222" s="105">
        <f t="shared" si="21"/>
        <v>4.2896842308166094E-2</v>
      </c>
      <c r="F222" s="105">
        <f t="shared" si="22"/>
        <v>4.3799999999999946</v>
      </c>
      <c r="G222" s="105">
        <f t="shared" si="24"/>
        <v>2.0228936010508583E-2</v>
      </c>
      <c r="H222" s="105">
        <f t="shared" si="23"/>
        <v>7.7606688327086767E-2</v>
      </c>
      <c r="J222" s="106"/>
      <c r="R222" s="124"/>
      <c r="S222" s="106"/>
    </row>
    <row r="223" spans="2:19" ht="15" customHeight="1">
      <c r="B223" s="105">
        <f t="shared" si="19"/>
        <v>4.3999999999999941</v>
      </c>
      <c r="C223" s="105">
        <f t="shared" si="20"/>
        <v>8.2004132231405184E-3</v>
      </c>
      <c r="D223" s="105">
        <f t="shared" si="21"/>
        <v>4.2701856661310801E-2</v>
      </c>
      <c r="F223" s="105">
        <f t="shared" si="22"/>
        <v>4.3999999999999941</v>
      </c>
      <c r="G223" s="105">
        <f t="shared" si="24"/>
        <v>2.0045454545454592E-2</v>
      </c>
      <c r="H223" s="105">
        <f t="shared" si="23"/>
        <v>7.7253930652872727E-2</v>
      </c>
      <c r="J223" s="106"/>
      <c r="R223" s="124"/>
      <c r="S223" s="106"/>
    </row>
    <row r="224" spans="2:19" ht="15" customHeight="1">
      <c r="B224" s="105">
        <f t="shared" si="19"/>
        <v>4.4199999999999937</v>
      </c>
      <c r="C224" s="105">
        <f t="shared" si="20"/>
        <v>8.1263692389590952E-3</v>
      </c>
      <c r="D224" s="105">
        <f t="shared" si="21"/>
        <v>4.250863559044514E-2</v>
      </c>
      <c r="F224" s="105">
        <f t="shared" si="22"/>
        <v>4.4199999999999937</v>
      </c>
      <c r="G224" s="105">
        <f t="shared" si="24"/>
        <v>1.9864458139677785E-2</v>
      </c>
      <c r="H224" s="105">
        <f t="shared" si="23"/>
        <v>7.6904365355800919E-2</v>
      </c>
      <c r="J224" s="106"/>
      <c r="R224" s="124"/>
      <c r="S224" s="106"/>
    </row>
    <row r="225" spans="2:19" ht="15" customHeight="1">
      <c r="B225" s="105">
        <f t="shared" si="19"/>
        <v>4.4399999999999933</v>
      </c>
      <c r="C225" s="105">
        <f t="shared" si="20"/>
        <v>8.0533235938641604E-3</v>
      </c>
      <c r="D225" s="105">
        <f t="shared" si="21"/>
        <v>4.2317155249947648E-2</v>
      </c>
      <c r="F225" s="105">
        <f t="shared" si="22"/>
        <v>4.4399999999999933</v>
      </c>
      <c r="G225" s="105">
        <f t="shared" si="24"/>
        <v>1.9685902118334608E-2</v>
      </c>
      <c r="H225" s="105">
        <f t="shared" si="23"/>
        <v>7.655794929563968E-2</v>
      </c>
      <c r="J225" s="106"/>
      <c r="R225" s="124"/>
      <c r="S225" s="106"/>
    </row>
    <row r="226" spans="2:19" ht="15" customHeight="1">
      <c r="B226" s="105">
        <f t="shared" si="19"/>
        <v>4.4599999999999929</v>
      </c>
      <c r="C226" s="105">
        <f t="shared" si="20"/>
        <v>7.9812584206398942E-3</v>
      </c>
      <c r="D226" s="105">
        <f t="shared" si="21"/>
        <v>4.2127392221920974E-2</v>
      </c>
      <c r="F226" s="105">
        <f t="shared" si="22"/>
        <v>4.4599999999999929</v>
      </c>
      <c r="G226" s="105">
        <f t="shared" si="24"/>
        <v>1.9509742806008624E-2</v>
      </c>
      <c r="H226" s="105">
        <f t="shared" si="23"/>
        <v>7.6214640105973105E-2</v>
      </c>
      <c r="J226" s="106"/>
      <c r="R226" s="124"/>
      <c r="S226" s="106"/>
    </row>
    <row r="227" spans="2:19" ht="15" customHeight="1">
      <c r="B227" s="105">
        <f t="shared" si="19"/>
        <v>4.4799999999999924</v>
      </c>
      <c r="C227" s="105">
        <f t="shared" si="20"/>
        <v>7.9101562500000274E-3</v>
      </c>
      <c r="D227" s="105">
        <f t="shared" si="21"/>
        <v>4.1939323506644546E-2</v>
      </c>
      <c r="F227" s="105">
        <f t="shared" si="22"/>
        <v>4.4799999999999924</v>
      </c>
      <c r="G227" s="105">
        <f t="shared" si="24"/>
        <v>1.9335937500000063E-2</v>
      </c>
      <c r="H227" s="105">
        <f t="shared" si="23"/>
        <v>7.5874396176928607E-2</v>
      </c>
      <c r="J227" s="106"/>
      <c r="R227" s="124"/>
      <c r="S227" s="106"/>
    </row>
    <row r="228" spans="2:19" ht="15" customHeight="1">
      <c r="B228" s="105">
        <f t="shared" si="19"/>
        <v>4.499999999999992</v>
      </c>
      <c r="C228" s="105">
        <f t="shared" si="20"/>
        <v>7.8400000000000275E-3</v>
      </c>
      <c r="D228" s="105">
        <f t="shared" si="21"/>
        <v>4.1752926513281684E-2</v>
      </c>
      <c r="F228" s="105">
        <f t="shared" si="22"/>
        <v>4.499999999999992</v>
      </c>
      <c r="G228" s="105">
        <f t="shared" si="24"/>
        <v>1.9164444444444508E-2</v>
      </c>
      <c r="H228" s="105">
        <f t="shared" si="23"/>
        <v>7.5537176638364484E-2</v>
      </c>
      <c r="J228" s="106"/>
      <c r="R228" s="124"/>
      <c r="S228" s="106"/>
    </row>
    <row r="229" spans="2:19" ht="15" customHeight="1">
      <c r="B229" s="105">
        <f t="shared" si="19"/>
        <v>4.5199999999999916</v>
      </c>
      <c r="C229" s="105">
        <f t="shared" si="20"/>
        <v>7.7707729657765191E-3</v>
      </c>
      <c r="D229" s="105">
        <f t="shared" si="21"/>
        <v>4.1568179050833542E-2</v>
      </c>
      <c r="F229" s="105">
        <f t="shared" si="22"/>
        <v>4.5199999999999916</v>
      </c>
      <c r="G229" s="105">
        <f t="shared" si="24"/>
        <v>1.8995222805231488E-2</v>
      </c>
      <c r="H229" s="105">
        <f t="shared" si="23"/>
        <v>7.520294134350447E-2</v>
      </c>
      <c r="J229" s="106"/>
      <c r="R229" s="124"/>
      <c r="S229" s="106"/>
    </row>
    <row r="230" spans="2:19" ht="15" customHeight="1">
      <c r="B230" s="105">
        <f t="shared" si="19"/>
        <v>4.5399999999999912</v>
      </c>
      <c r="C230" s="105">
        <f t="shared" si="20"/>
        <v>7.70245880960239E-3</v>
      </c>
      <c r="D230" s="105">
        <f t="shared" si="21"/>
        <v>4.1385059319332076E-2</v>
      </c>
      <c r="F230" s="105">
        <f t="shared" si="22"/>
        <v>4.5399999999999912</v>
      </c>
      <c r="G230" s="105">
        <f t="shared" si="24"/>
        <v>1.8828232645694727E-2</v>
      </c>
      <c r="H230" s="105">
        <f t="shared" si="23"/>
        <v>7.4871650853004457E-2</v>
      </c>
      <c r="J230" s="106"/>
      <c r="R230" s="124"/>
      <c r="S230" s="106"/>
    </row>
    <row r="231" spans="2:19" ht="15" customHeight="1">
      <c r="B231" s="105">
        <f t="shared" si="19"/>
        <v>4.5599999999999907</v>
      </c>
      <c r="C231" s="105">
        <f t="shared" si="20"/>
        <v>7.6350415512465688E-3</v>
      </c>
      <c r="D231" s="105">
        <f t="shared" si="21"/>
        <v>4.1203545901264835E-2</v>
      </c>
      <c r="F231" s="105">
        <f t="shared" si="22"/>
        <v>4.5599999999999907</v>
      </c>
      <c r="G231" s="105">
        <f t="shared" si="24"/>
        <v>1.8663434903047164E-2</v>
      </c>
      <c r="H231" s="105">
        <f t="shared" si="23"/>
        <v>7.4543266419438647E-2</v>
      </c>
      <c r="J231" s="106"/>
      <c r="R231" s="124"/>
      <c r="S231" s="106"/>
    </row>
    <row r="232" spans="2:19" ht="15" customHeight="1">
      <c r="B232" s="105">
        <f t="shared" si="19"/>
        <v>4.5799999999999903</v>
      </c>
      <c r="C232" s="105">
        <f t="shared" si="20"/>
        <v>7.5685055586278234E-3</v>
      </c>
      <c r="D232" s="105">
        <f t="shared" si="21"/>
        <v>4.1023617753224384E-2</v>
      </c>
      <c r="F232" s="105">
        <f t="shared" si="22"/>
        <v>4.5799999999999903</v>
      </c>
      <c r="G232" s="105">
        <f t="shared" si="24"/>
        <v>1.8500791365534675E-2</v>
      </c>
      <c r="H232" s="105">
        <f t="shared" si="23"/>
        <v>7.4217749972192215E-2</v>
      </c>
      <c r="J232" s="106"/>
      <c r="R232" s="124"/>
      <c r="S232" s="106"/>
    </row>
    <row r="233" spans="2:19" ht="15" customHeight="1">
      <c r="B233" s="105">
        <f t="shared" si="19"/>
        <v>4.5999999999999899</v>
      </c>
      <c r="C233" s="105">
        <f t="shared" si="20"/>
        <v>7.5028355387523962E-3</v>
      </c>
      <c r="D233" s="105">
        <f t="shared" si="21"/>
        <v>4.0845254197775578E-2</v>
      </c>
      <c r="F233" s="105">
        <f t="shared" si="22"/>
        <v>4.5999999999999899</v>
      </c>
      <c r="G233" s="105">
        <f t="shared" si="24"/>
        <v>1.8340264650283631E-2</v>
      </c>
      <c r="H233" s="105">
        <f t="shared" si="23"/>
        <v>7.3895064102747904E-2</v>
      </c>
      <c r="J233" s="106"/>
      <c r="R233" s="124"/>
      <c r="S233" s="106"/>
    </row>
    <row r="234" spans="2:19" ht="15" customHeight="1">
      <c r="B234" s="105">
        <f t="shared" si="19"/>
        <v>4.6199999999999894</v>
      </c>
      <c r="C234" s="105">
        <f t="shared" si="20"/>
        <v>7.4380165289256546E-3</v>
      </c>
      <c r="D234" s="105">
        <f t="shared" si="21"/>
        <v>4.0668434915534138E-2</v>
      </c>
      <c r="F234" s="105">
        <f t="shared" si="22"/>
        <v>4.6199999999999894</v>
      </c>
      <c r="G234" s="105">
        <f t="shared" si="24"/>
        <v>1.8181818181818264E-2</v>
      </c>
      <c r="H234" s="105">
        <f t="shared" si="23"/>
        <v>7.3575172050355062E-2</v>
      </c>
      <c r="J234" s="106"/>
      <c r="R234" s="124"/>
      <c r="S234" s="106"/>
    </row>
    <row r="235" spans="2:19" ht="15" customHeight="1">
      <c r="B235" s="105">
        <f t="shared" si="19"/>
        <v>4.639999999999989</v>
      </c>
      <c r="C235" s="105">
        <f t="shared" si="20"/>
        <v>7.374033888228335E-3</v>
      </c>
      <c r="D235" s="105">
        <f t="shared" si="21"/>
        <v>4.0493139937449935E-2</v>
      </c>
      <c r="F235" s="105">
        <f t="shared" si="22"/>
        <v>4.639999999999989</v>
      </c>
      <c r="G235" s="105">
        <f t="shared" si="24"/>
        <v>1.8025416171224815E-2</v>
      </c>
      <c r="H235" s="105">
        <f t="shared" si="23"/>
        <v>7.3258037688069072E-2</v>
      </c>
      <c r="J235" s="106"/>
      <c r="R235" s="124"/>
      <c r="S235" s="106"/>
    </row>
    <row r="236" spans="2:19" ht="15" customHeight="1">
      <c r="B236" s="105">
        <f t="shared" si="19"/>
        <v>4.6599999999999886</v>
      </c>
      <c r="C236" s="105">
        <f t="shared" si="20"/>
        <v>7.3108732892483179E-3</v>
      </c>
      <c r="D236" s="105">
        <f t="shared" si="21"/>
        <v>4.0319349637289205E-2</v>
      </c>
      <c r="F236" s="105">
        <f t="shared" si="22"/>
        <v>4.6599999999999886</v>
      </c>
      <c r="G236" s="105">
        <f t="shared" si="24"/>
        <v>1.7871023595940328E-2</v>
      </c>
      <c r="H236" s="105">
        <f t="shared" si="23"/>
        <v>7.2943625509150289E-2</v>
      </c>
      <c r="J236" s="106"/>
      <c r="R236" s="124"/>
      <c r="S236" s="106"/>
    </row>
    <row r="237" spans="2:19" ht="15" customHeight="1">
      <c r="B237" s="105">
        <f t="shared" si="19"/>
        <v>4.6799999999999882</v>
      </c>
      <c r="C237" s="105">
        <f t="shared" si="20"/>
        <v>7.248520710059209E-3</v>
      </c>
      <c r="D237" s="105">
        <f t="shared" si="21"/>
        <v>4.0147044724309341E-2</v>
      </c>
      <c r="F237" s="105">
        <f t="shared" si="22"/>
        <v>4.6799999999999882</v>
      </c>
      <c r="G237" s="105">
        <f t="shared" si="24"/>
        <v>1.7718606180144727E-2</v>
      </c>
      <c r="H237" s="105">
        <f t="shared" si="23"/>
        <v>7.2631900613812056E-2</v>
      </c>
      <c r="J237" s="106"/>
      <c r="R237" s="124"/>
      <c r="S237" s="106"/>
    </row>
    <row r="238" spans="2:19" ht="15" customHeight="1">
      <c r="B238" s="105">
        <f t="shared" si="19"/>
        <v>4.6999999999999877</v>
      </c>
      <c r="C238" s="105">
        <f t="shared" si="20"/>
        <v>7.1869624264373393E-3</v>
      </c>
      <c r="D238" s="105">
        <f t="shared" si="21"/>
        <v>3.9976206236120797E-2</v>
      </c>
      <c r="F238" s="105">
        <f t="shared" si="22"/>
        <v>4.6999999999999877</v>
      </c>
      <c r="G238" s="105">
        <f t="shared" si="24"/>
        <v>1.7568130375735715E-2</v>
      </c>
      <c r="H238" s="105">
        <f t="shared" si="23"/>
        <v>7.2322828696306476E-2</v>
      </c>
      <c r="J238" s="106"/>
      <c r="R238" s="124"/>
      <c r="S238" s="106"/>
    </row>
    <row r="239" spans="2:19" ht="15" customHeight="1">
      <c r="B239" s="105">
        <f t="shared" si="19"/>
        <v>4.7199999999999873</v>
      </c>
      <c r="C239" s="105">
        <f t="shared" si="20"/>
        <v>7.1261850043091452E-3</v>
      </c>
      <c r="D239" s="105">
        <f t="shared" si="21"/>
        <v>3.9806815531730461E-2</v>
      </c>
      <c r="F239" s="105">
        <f t="shared" si="22"/>
        <v>4.7199999999999873</v>
      </c>
      <c r="G239" s="105">
        <f t="shared" si="24"/>
        <v>1.7419563343866795E-2</v>
      </c>
      <c r="H239" s="105">
        <f t="shared" si="23"/>
        <v>7.2016376032339097E-2</v>
      </c>
      <c r="J239" s="106"/>
      <c r="R239" s="124"/>
      <c r="S239" s="106"/>
    </row>
    <row r="240" spans="2:19" ht="15" customHeight="1">
      <c r="B240" s="105">
        <f t="shared" si="19"/>
        <v>4.7399999999999869</v>
      </c>
      <c r="C240" s="105">
        <f t="shared" si="20"/>
        <v>7.0661752924211256E-3</v>
      </c>
      <c r="D240" s="105">
        <f t="shared" si="21"/>
        <v>3.9638854284761139E-2</v>
      </c>
      <c r="F240" s="105">
        <f t="shared" si="22"/>
        <v>4.7399999999999869</v>
      </c>
      <c r="G240" s="105">
        <f t="shared" si="24"/>
        <v>1.7272872937029414E-2</v>
      </c>
      <c r="H240" s="105">
        <f t="shared" si="23"/>
        <v>7.1712509466801799E-2</v>
      </c>
      <c r="J240" s="106"/>
      <c r="R240" s="124"/>
      <c r="S240" s="106"/>
    </row>
    <row r="241" spans="2:19" ht="15" customHeight="1">
      <c r="B241" s="105">
        <f t="shared" si="19"/>
        <v>4.7599999999999865</v>
      </c>
      <c r="C241" s="105">
        <f t="shared" si="20"/>
        <v>7.0069204152249541E-3</v>
      </c>
      <c r="D241" s="105">
        <f t="shared" si="21"/>
        <v>3.9472304476841982E-2</v>
      </c>
      <c r="F241" s="105">
        <f t="shared" si="22"/>
        <v>4.7599999999999865</v>
      </c>
      <c r="G241" s="105">
        <f t="shared" si="24"/>
        <v>1.7128027681660996E-2</v>
      </c>
      <c r="H241" s="105">
        <f t="shared" si="23"/>
        <v>7.1411196401815244E-2</v>
      </c>
      <c r="J241" s="106"/>
      <c r="R241" s="124"/>
      <c r="S241" s="106"/>
    </row>
    <row r="242" spans="2:19" ht="15" customHeight="1">
      <c r="B242" s="105">
        <f t="shared" si="19"/>
        <v>4.779999999999986</v>
      </c>
      <c r="C242" s="105">
        <f t="shared" si="20"/>
        <v>6.948407765970525E-3</v>
      </c>
      <c r="D242" s="105">
        <f t="shared" si="21"/>
        <v>3.9307148391164816E-2</v>
      </c>
      <c r="F242" s="105">
        <f t="shared" si="22"/>
        <v>4.779999999999986</v>
      </c>
      <c r="G242" s="105">
        <f t="shared" si="24"/>
        <v>1.6984996761261278E-2</v>
      </c>
      <c r="H242" s="105">
        <f t="shared" si="23"/>
        <v>7.1112404785071248E-2</v>
      </c>
      <c r="J242" s="106"/>
      <c r="R242" s="124"/>
      <c r="S242" s="106"/>
    </row>
    <row r="243" spans="2:19" ht="15" customHeight="1">
      <c r="B243" s="105">
        <f t="shared" si="19"/>
        <v>4.7999999999999856</v>
      </c>
      <c r="C243" s="105">
        <f t="shared" si="20"/>
        <v>6.8906250000000425E-3</v>
      </c>
      <c r="D243" s="105">
        <f t="shared" si="21"/>
        <v>3.9143368606201635E-2</v>
      </c>
      <c r="F243" s="105">
        <f t="shared" si="22"/>
        <v>4.7999999999999856</v>
      </c>
      <c r="G243" s="105">
        <f t="shared" si="24"/>
        <v>1.6843750000000098E-2</v>
      </c>
      <c r="H243" s="105">
        <f t="shared" si="23"/>
        <v>7.0816103098466796E-2</v>
      </c>
      <c r="J243" s="106"/>
      <c r="R243" s="124"/>
      <c r="S243" s="106"/>
    </row>
    <row r="244" spans="2:19" ht="15" customHeight="1">
      <c r="B244" s="105">
        <f t="shared" si="19"/>
        <v>4.8199999999999852</v>
      </c>
      <c r="C244" s="105">
        <f t="shared" si="20"/>
        <v>6.8335600282364711E-3</v>
      </c>
      <c r="D244" s="105">
        <f t="shared" si="21"/>
        <v>3.8980947989578393E-2</v>
      </c>
      <c r="F244" s="105">
        <f t="shared" si="22"/>
        <v>4.8199999999999852</v>
      </c>
      <c r="G244" s="105">
        <f t="shared" si="24"/>
        <v>1.6704257846800259E-2</v>
      </c>
      <c r="H244" s="105">
        <f t="shared" si="23"/>
        <v>7.0522260347020888E-2</v>
      </c>
      <c r="J244" s="106"/>
      <c r="R244" s="124"/>
      <c r="S244" s="106"/>
    </row>
    <row r="245" spans="2:19" ht="15" customHeight="1">
      <c r="B245" s="105">
        <f t="shared" si="19"/>
        <v>4.8399999999999848</v>
      </c>
      <c r="C245" s="105">
        <f t="shared" si="20"/>
        <v>6.7772010108599571E-3</v>
      </c>
      <c r="D245" s="105">
        <f t="shared" si="21"/>
        <v>3.8819869692100793E-2</v>
      </c>
      <c r="F245" s="105">
        <f t="shared" si="22"/>
        <v>4.8399999999999848</v>
      </c>
      <c r="G245" s="105">
        <f t="shared" si="24"/>
        <v>1.6566491359879889E-2</v>
      </c>
      <c r="H245" s="105">
        <f t="shared" si="23"/>
        <v>7.0230846048066245E-2</v>
      </c>
      <c r="J245" s="106"/>
      <c r="R245" s="124"/>
      <c r="S245" s="106"/>
    </row>
    <row r="246" spans="2:19" ht="15" customHeight="1">
      <c r="B246" s="105">
        <f t="shared" si="19"/>
        <v>4.8599999999999843</v>
      </c>
      <c r="C246" s="105">
        <f t="shared" si="20"/>
        <v>6.7215363511660244E-3</v>
      </c>
      <c r="D246" s="105">
        <f t="shared" si="21"/>
        <v>3.866011714192754E-2</v>
      </c>
      <c r="F246" s="105">
        <f t="shared" si="22"/>
        <v>4.8599999999999843</v>
      </c>
      <c r="G246" s="105">
        <f t="shared" si="24"/>
        <v>1.6430422191739166E-2</v>
      </c>
      <c r="H246" s="105">
        <f t="shared" si="23"/>
        <v>6.9941830220707962E-2</v>
      </c>
      <c r="J246" s="106"/>
      <c r="R246" s="124"/>
      <c r="S246" s="106"/>
    </row>
    <row r="247" spans="2:19" ht="15" customHeight="1">
      <c r="B247" s="105">
        <f t="shared" si="19"/>
        <v>4.8799999999999839</v>
      </c>
      <c r="C247" s="105">
        <f t="shared" si="20"/>
        <v>6.6665546895996143E-3</v>
      </c>
      <c r="D247" s="105">
        <f t="shared" si="21"/>
        <v>3.8501674038886866E-2</v>
      </c>
      <c r="F247" s="105">
        <f t="shared" si="22"/>
        <v>4.8799999999999839</v>
      </c>
      <c r="G247" s="105">
        <f t="shared" si="24"/>
        <v>1.6296022574576831E-2</v>
      </c>
      <c r="H247" s="105">
        <f t="shared" si="23"/>
        <v>6.9655183375541121E-2</v>
      </c>
      <c r="J247" s="106"/>
      <c r="R247" s="124"/>
      <c r="S247" s="106"/>
    </row>
    <row r="248" spans="2:19" ht="15" customHeight="1">
      <c r="B248" s="105">
        <f t="shared" si="19"/>
        <v>4.8999999999999835</v>
      </c>
      <c r="C248" s="105">
        <f t="shared" si="20"/>
        <v>6.6122448979592284E-3</v>
      </c>
      <c r="D248" s="105">
        <f t="shared" si="21"/>
        <v>3.8344524348932221E-2</v>
      </c>
      <c r="F248" s="105">
        <f t="shared" si="22"/>
        <v>4.8999999999999835</v>
      </c>
      <c r="G248" s="105">
        <f t="shared" si="24"/>
        <v>1.6163265306122554E-2</v>
      </c>
      <c r="H248" s="105">
        <f t="shared" si="23"/>
        <v>6.9370876504620552E-2</v>
      </c>
      <c r="J248" s="106"/>
      <c r="R248" s="124"/>
      <c r="S248" s="106"/>
    </row>
    <row r="249" spans="2:19" ht="15" customHeight="1">
      <c r="B249" s="105">
        <f t="shared" si="19"/>
        <v>4.9199999999999831</v>
      </c>
      <c r="C249" s="105">
        <f t="shared" si="20"/>
        <v>6.5585960737656619E-3</v>
      </c>
      <c r="D249" s="105">
        <f t="shared" si="21"/>
        <v>3.8188652298733312E-2</v>
      </c>
      <c r="F249" s="105">
        <f t="shared" si="22"/>
        <v>4.9199999999999831</v>
      </c>
      <c r="G249" s="105">
        <f t="shared" si="24"/>
        <v>1.6032123735871612E-2</v>
      </c>
      <c r="H249" s="105">
        <f t="shared" si="23"/>
        <v>6.9088881071674949E-2</v>
      </c>
      <c r="J249" s="106"/>
      <c r="R249" s="124"/>
      <c r="S249" s="106"/>
    </row>
    <row r="250" spans="2:19" ht="15" customHeight="1">
      <c r="B250" s="105">
        <f t="shared" si="19"/>
        <v>4.9399999999999826</v>
      </c>
      <c r="C250" s="105">
        <f t="shared" si="20"/>
        <v>6.5055975347899954E-3</v>
      </c>
      <c r="D250" s="105">
        <f t="shared" si="21"/>
        <v>3.8034042370398369E-2</v>
      </c>
      <c r="F250" s="105">
        <f t="shared" si="22"/>
        <v>4.9399999999999826</v>
      </c>
      <c r="G250" s="105">
        <f t="shared" si="24"/>
        <v>1.5902571751708873E-2</v>
      </c>
      <c r="H250" s="105">
        <f t="shared" si="23"/>
        <v>6.8809169002558859E-2</v>
      </c>
      <c r="J250" s="106"/>
      <c r="R250" s="124"/>
      <c r="S250" s="106"/>
    </row>
    <row r="251" spans="2:19" ht="15" customHeight="1">
      <c r="B251" s="105">
        <f t="shared" si="19"/>
        <v>4.9599999999999822</v>
      </c>
      <c r="C251" s="105">
        <f t="shared" si="20"/>
        <v>6.4532388137357385E-3</v>
      </c>
      <c r="D251" s="105">
        <f t="shared" si="21"/>
        <v>3.7880679296324174E-2</v>
      </c>
      <c r="F251" s="105">
        <f t="shared" si="22"/>
        <v>4.9599999999999822</v>
      </c>
      <c r="G251" s="105">
        <f t="shared" si="24"/>
        <v>1.5774583766909579E-2</v>
      </c>
      <c r="H251" s="105">
        <f t="shared" si="23"/>
        <v>6.8531712675935635E-2</v>
      </c>
      <c r="J251" s="106"/>
      <c r="R251" s="124"/>
      <c r="S251" s="106"/>
    </row>
    <row r="252" spans="2:19" ht="15" customHeight="1">
      <c r="B252" s="105">
        <f t="shared" si="19"/>
        <v>4.9799999999999818</v>
      </c>
      <c r="C252" s="105">
        <f t="shared" si="20"/>
        <v>6.4015096530701593E-3</v>
      </c>
      <c r="D252" s="105">
        <f t="shared" si="21"/>
        <v>3.7728548054170266E-2</v>
      </c>
      <c r="F252" s="105">
        <f t="shared" si="22"/>
        <v>4.9799999999999818</v>
      </c>
      <c r="G252" s="105">
        <f t="shared" si="24"/>
        <v>1.564813470750483E-2</v>
      </c>
      <c r="H252" s="105">
        <f t="shared" si="23"/>
        <v>6.8256484914184901E-2</v>
      </c>
      <c r="J252" s="106"/>
      <c r="R252" s="124"/>
      <c r="S252" s="106"/>
    </row>
    <row r="253" spans="2:19" ht="15" customHeight="1">
      <c r="B253" s="105">
        <f t="shared" si="19"/>
        <v>4.9999999999999813</v>
      </c>
      <c r="C253" s="105">
        <f t="shared" si="20"/>
        <v>6.3504000000000477E-3</v>
      </c>
      <c r="D253" s="105">
        <f t="shared" si="21"/>
        <v>3.7577633861953591E-2</v>
      </c>
      <c r="F253" s="105">
        <f t="shared" si="22"/>
        <v>4.9999999999999813</v>
      </c>
      <c r="G253" s="105">
        <f t="shared" si="24"/>
        <v>1.5523200000000112E-2</v>
      </c>
      <c r="H253" s="105">
        <f t="shared" si="23"/>
        <v>6.7983458974528163E-2</v>
      </c>
      <c r="J253" s="106"/>
      <c r="R253" s="124"/>
      <c r="S253" s="106"/>
    </row>
    <row r="254" spans="2:19" ht="15" customHeight="1">
      <c r="B254" s="105">
        <f t="shared" si="19"/>
        <v>5.0199999999999809</v>
      </c>
      <c r="C254" s="105">
        <f t="shared" si="20"/>
        <v>6.2999000015873247E-3</v>
      </c>
      <c r="D254" s="105">
        <f t="shared" si="21"/>
        <v>3.7427922173260554E-2</v>
      </c>
      <c r="F254" s="105">
        <f t="shared" si="22"/>
        <v>5.0199999999999809</v>
      </c>
      <c r="G254" s="105">
        <f t="shared" si="24"/>
        <v>1.5399755559435678E-2</v>
      </c>
      <c r="H254" s="105">
        <f t="shared" si="23"/>
        <v>6.7712608540366703E-2</v>
      </c>
      <c r="J254" s="106"/>
      <c r="R254" s="124"/>
      <c r="S254" s="106"/>
    </row>
    <row r="255" spans="2:19" ht="15" customHeight="1">
      <c r="B255" s="105">
        <f t="shared" si="19"/>
        <v>5.0399999999999805</v>
      </c>
      <c r="C255" s="105">
        <f t="shared" si="20"/>
        <v>6.2500000000000489E-3</v>
      </c>
      <c r="D255" s="105">
        <f t="shared" si="21"/>
        <v>3.7279398672573016E-2</v>
      </c>
      <c r="F255" s="105">
        <f t="shared" si="22"/>
        <v>5.0399999999999805</v>
      </c>
      <c r="G255" s="105">
        <f t="shared" si="24"/>
        <v>1.5277777777777894E-2</v>
      </c>
      <c r="H255" s="105">
        <f t="shared" si="23"/>
        <v>6.7443907712825574E-2</v>
      </c>
      <c r="J255" s="106"/>
      <c r="R255" s="124"/>
      <c r="S255" s="106"/>
    </row>
    <row r="256" spans="2:19" ht="15" customHeight="1">
      <c r="B256" s="105">
        <f t="shared" si="19"/>
        <v>5.0599999999999801</v>
      </c>
      <c r="C256" s="105">
        <f t="shared" si="20"/>
        <v>6.200690527894564E-3</v>
      </c>
      <c r="D256" s="105">
        <f t="shared" si="21"/>
        <v>3.7132049270705139E-2</v>
      </c>
      <c r="F256" s="105">
        <f t="shared" si="22"/>
        <v>5.0599999999999801</v>
      </c>
      <c r="G256" s="105">
        <f t="shared" si="24"/>
        <v>1.5157243512631154E-2</v>
      </c>
      <c r="H256" s="105">
        <f t="shared" si="23"/>
        <v>6.7177331002498203E-2</v>
      </c>
      <c r="J256" s="106"/>
      <c r="R256" s="124"/>
      <c r="S256" s="106"/>
    </row>
    <row r="257" spans="2:19" ht="15" customHeight="1">
      <c r="B257" s="105">
        <f t="shared" si="19"/>
        <v>5.0799999999999796</v>
      </c>
      <c r="C257" s="105">
        <f t="shared" si="20"/>
        <v>6.1519623039246575E-3</v>
      </c>
      <c r="D257" s="105">
        <f t="shared" si="21"/>
        <v>3.6985860100348038E-2</v>
      </c>
      <c r="F257" s="105">
        <f t="shared" si="22"/>
        <v>5.0799999999999796</v>
      </c>
      <c r="G257" s="105">
        <f t="shared" si="24"/>
        <v>1.5038130076260269E-2</v>
      </c>
      <c r="H257" s="105">
        <f t="shared" si="23"/>
        <v>6.6912853321386009E-2</v>
      </c>
      <c r="J257" s="106"/>
      <c r="R257" s="124"/>
      <c r="S257" s="106"/>
    </row>
    <row r="258" spans="2:19" ht="15" customHeight="1">
      <c r="B258" s="105">
        <f t="shared" si="19"/>
        <v>5.0999999999999792</v>
      </c>
      <c r="C258" s="105">
        <f t="shared" si="20"/>
        <v>6.1038062283737529E-3</v>
      </c>
      <c r="D258" s="105">
        <f t="shared" si="21"/>
        <v>3.684081751171922E-2</v>
      </c>
      <c r="F258" s="105">
        <f t="shared" si="22"/>
        <v>5.0999999999999792</v>
      </c>
      <c r="G258" s="105">
        <f t="shared" si="24"/>
        <v>1.4920415224913613E-2</v>
      </c>
      <c r="H258" s="105">
        <f t="shared" si="23"/>
        <v>6.6650449975027629E-2</v>
      </c>
      <c r="J258" s="106"/>
      <c r="R258" s="124"/>
      <c r="S258" s="106"/>
    </row>
    <row r="259" spans="2:19" ht="15" customHeight="1">
      <c r="B259" s="105">
        <f t="shared" si="19"/>
        <v>5.1199999999999788</v>
      </c>
      <c r="C259" s="105">
        <f t="shared" si="20"/>
        <v>6.0562133789063E-3</v>
      </c>
      <c r="D259" s="105">
        <f t="shared" si="21"/>
        <v>3.669690806831407E-2</v>
      </c>
      <c r="F259" s="105">
        <f t="shared" si="22"/>
        <v>5.1199999999999788</v>
      </c>
      <c r="G259" s="105">
        <f t="shared" si="24"/>
        <v>1.4804077148437619E-2</v>
      </c>
      <c r="H259" s="105">
        <f t="shared" si="23"/>
        <v>6.6390096654812686E-2</v>
      </c>
      <c r="J259" s="106"/>
      <c r="R259" s="124"/>
      <c r="S259" s="106"/>
    </row>
    <row r="260" spans="2:19" ht="15" customHeight="1">
      <c r="B260" s="105">
        <f t="shared" ref="B260:B303" si="25">B259+0.02</f>
        <v>5.1399999999999784</v>
      </c>
      <c r="C260" s="105">
        <f t="shared" ref="C260:C303" si="26">IF(B260=0,M264,IF(AND(B260&gt;0,B260&lt;=$M$9),$M$7+(($M$8-$M$7)/($M$9-$B$3)*(B260-$B$3)),IF(AND(B260&gt;$M$9,B260&lt;=$M$10),$M$8,IF(AND(B260&gt;$M$10,B260&lt;=$M$11),$M$12/B260,IF(B260&gt;$M$11,$M$13/B260^2)))))</f>
        <v>6.0091750064346673E-3</v>
      </c>
      <c r="D260" s="105">
        <f t="shared" ref="D260:D303" si="27">(B260/(2*PI()))*(C260*9.81)*$M$15</f>
        <v>3.6554118542756434E-2</v>
      </c>
      <c r="F260" s="105">
        <f t="shared" ref="F260:F303" si="28">F259+0.02</f>
        <v>5.1399999999999784</v>
      </c>
      <c r="G260" s="105">
        <f t="shared" si="24"/>
        <v>1.4689094460173628E-2</v>
      </c>
      <c r="H260" s="105">
        <f t="shared" ref="H260:H303" si="29">(F260/(2*PI()))*(G260*9.81)*$P$15</f>
        <v>6.6131769430474899E-2</v>
      </c>
      <c r="J260" s="106"/>
      <c r="R260" s="124"/>
      <c r="S260" s="106"/>
    </row>
    <row r="261" spans="2:19" ht="15" customHeight="1">
      <c r="B261" s="105">
        <f t="shared" si="25"/>
        <v>5.1599999999999779</v>
      </c>
      <c r="C261" s="105">
        <f t="shared" si="26"/>
        <v>5.9626825310979421E-3</v>
      </c>
      <c r="D261" s="105">
        <f t="shared" si="27"/>
        <v>3.6412435912745747E-2</v>
      </c>
      <c r="F261" s="105">
        <f t="shared" si="28"/>
        <v>5.1599999999999779</v>
      </c>
      <c r="G261" s="105">
        <f t="shared" si="24"/>
        <v>1.45754461871283E-2</v>
      </c>
      <c r="H261" s="105">
        <f t="shared" si="29"/>
        <v>6.5875444742759887E-2</v>
      </c>
      <c r="J261" s="106"/>
      <c r="R261" s="124"/>
      <c r="S261" s="106"/>
    </row>
    <row r="262" spans="2:19" ht="15" customHeight="1">
      <c r="B262" s="105">
        <f t="shared" si="25"/>
        <v>5.1799999999999775</v>
      </c>
      <c r="C262" s="105">
        <f t="shared" si="26"/>
        <v>5.9167275383492125E-3</v>
      </c>
      <c r="D262" s="105">
        <f t="shared" si="27"/>
        <v>3.627184735709809E-2</v>
      </c>
      <c r="F262" s="105">
        <f t="shared" si="28"/>
        <v>5.1799999999999775</v>
      </c>
      <c r="G262" s="105">
        <f t="shared" si="24"/>
        <v>1.4463111760409181E-2</v>
      </c>
      <c r="H262" s="105">
        <f t="shared" si="29"/>
        <v>6.5621099396262747E-2</v>
      </c>
      <c r="J262" s="106"/>
      <c r="R262" s="124"/>
      <c r="S262" s="106"/>
    </row>
    <row r="263" spans="2:19" ht="15" customHeight="1">
      <c r="B263" s="105">
        <f t="shared" si="25"/>
        <v>5.1999999999999771</v>
      </c>
      <c r="C263" s="105">
        <f t="shared" si="26"/>
        <v>5.8713017751479812E-3</v>
      </c>
      <c r="D263" s="105">
        <f t="shared" si="27"/>
        <v>3.6132340251878482E-2</v>
      </c>
      <c r="F263" s="105">
        <f t="shared" si="28"/>
        <v>5.1999999999999771</v>
      </c>
      <c r="G263" s="105">
        <f t="shared" si="24"/>
        <v>1.4352071005917283E-2</v>
      </c>
      <c r="H263" s="105">
        <f t="shared" si="29"/>
        <v>6.5368710552430986E-2</v>
      </c>
      <c r="J263" s="106"/>
      <c r="R263" s="124"/>
      <c r="S263" s="106"/>
    </row>
    <row r="264" spans="2:19" ht="15" customHeight="1">
      <c r="B264" s="105">
        <f t="shared" si="25"/>
        <v>5.2199999999999767</v>
      </c>
      <c r="C264" s="105">
        <f t="shared" si="26"/>
        <v>5.8263971462545116E-3</v>
      </c>
      <c r="D264" s="105">
        <f t="shared" si="27"/>
        <v>3.5993902166622238E-2</v>
      </c>
      <c r="F264" s="105">
        <f t="shared" si="28"/>
        <v>5.2199999999999767</v>
      </c>
      <c r="G264" s="105">
        <f t="shared" si="24"/>
        <v>1.4242304135288803E-2</v>
      </c>
      <c r="H264" s="105">
        <f t="shared" si="29"/>
        <v>6.5118255722728183E-2</v>
      </c>
      <c r="J264" s="106"/>
      <c r="R264" s="124"/>
      <c r="S264" s="106"/>
    </row>
    <row r="265" spans="2:19" ht="15" customHeight="1">
      <c r="B265" s="105">
        <f t="shared" si="25"/>
        <v>5.2399999999999762</v>
      </c>
      <c r="C265" s="105">
        <f t="shared" si="26"/>
        <v>5.7820057106229769E-3</v>
      </c>
      <c r="D265" s="105">
        <f t="shared" si="27"/>
        <v>3.5856520860642775E-2</v>
      </c>
      <c r="F265" s="105">
        <f t="shared" si="28"/>
        <v>5.2399999999999762</v>
      </c>
      <c r="G265" s="105">
        <f t="shared" si="24"/>
        <v>1.4133791737078384E-2</v>
      </c>
      <c r="H265" s="105">
        <f t="shared" si="29"/>
        <v>6.4869712761954398E-2</v>
      </c>
      <c r="J265" s="106"/>
      <c r="R265" s="124"/>
      <c r="S265" s="106"/>
    </row>
    <row r="266" spans="2:19" ht="15" customHeight="1">
      <c r="B266" s="105">
        <f t="shared" si="25"/>
        <v>5.2599999999999758</v>
      </c>
      <c r="C266" s="105">
        <f t="shared" si="26"/>
        <v>5.7381196778904381E-3</v>
      </c>
      <c r="D266" s="105">
        <f t="shared" si="27"/>
        <v>3.5720184279423604E-2</v>
      </c>
      <c r="F266" s="105">
        <f t="shared" si="28"/>
        <v>5.2599999999999758</v>
      </c>
      <c r="G266" s="105">
        <f t="shared" ref="G266:G288" si="30">IF(F266=0,T281,IF(AND(F266&gt;0,F266&lt;=$P$9),$P$7+(($P$8-$P$7)/($P$9-$F$3)*(F266-$F$3)),IF(AND(F266&gt;$P$9,F266&lt;=$P$10),$P$8,IF(AND(F266&gt;$P$10,F266&lt;=$P$11),$P$12/F266,IF(F266&gt;$P$11,$P$13/F266^2)))))</f>
        <v>1.4026514768176622E-2</v>
      </c>
      <c r="H266" s="105">
        <f t="shared" si="29"/>
        <v>6.462305986171886E-2</v>
      </c>
      <c r="J266" s="106"/>
      <c r="R266" s="124"/>
      <c r="S266" s="106"/>
    </row>
    <row r="267" spans="2:19" ht="15" customHeight="1">
      <c r="B267" s="105">
        <f t="shared" si="25"/>
        <v>5.2799999999999754</v>
      </c>
      <c r="C267" s="105">
        <f t="shared" si="26"/>
        <v>5.6947314049587312E-3</v>
      </c>
      <c r="D267" s="105">
        <f t="shared" si="27"/>
        <v>3.5584880551092449E-2</v>
      </c>
      <c r="F267" s="105">
        <f t="shared" si="28"/>
        <v>5.2799999999999754</v>
      </c>
      <c r="G267" s="105">
        <f t="shared" si="30"/>
        <v>1.3920454545454673E-2</v>
      </c>
      <c r="H267" s="105">
        <f t="shared" si="29"/>
        <v>6.4378275544060837E-2</v>
      </c>
      <c r="J267" s="106"/>
      <c r="R267" s="124"/>
      <c r="S267" s="106"/>
    </row>
    <row r="268" spans="2:19" ht="15" customHeight="1">
      <c r="B268" s="105">
        <f t="shared" si="25"/>
        <v>5.299999999999975</v>
      </c>
      <c r="C268" s="105">
        <f t="shared" si="26"/>
        <v>5.6518333926664837E-3</v>
      </c>
      <c r="D268" s="105">
        <f t="shared" si="27"/>
        <v>3.5450597982975125E-2</v>
      </c>
      <c r="F268" s="105">
        <f t="shared" si="28"/>
        <v>5.299999999999975</v>
      </c>
      <c r="G268" s="105">
        <f t="shared" si="30"/>
        <v>1.3815592737629178E-2</v>
      </c>
      <c r="H268" s="105">
        <f t="shared" si="29"/>
        <v>6.4135338655215313E-2</v>
      </c>
      <c r="J268" s="106"/>
      <c r="R268" s="124"/>
      <c r="S268" s="106"/>
    </row>
    <row r="269" spans="2:19" ht="15" customHeight="1">
      <c r="B269" s="105">
        <f t="shared" si="25"/>
        <v>5.3199999999999745</v>
      </c>
      <c r="C269" s="105">
        <f t="shared" si="26"/>
        <v>5.6094182825485303E-3</v>
      </c>
      <c r="D269" s="105">
        <f t="shared" si="27"/>
        <v>3.53173250582271E-2</v>
      </c>
      <c r="F269" s="105">
        <f t="shared" si="28"/>
        <v>5.3199999999999745</v>
      </c>
      <c r="G269" s="105">
        <f t="shared" si="30"/>
        <v>1.371191135734085E-2</v>
      </c>
      <c r="H269" s="105">
        <f t="shared" si="29"/>
        <v>6.3894228359519037E-2</v>
      </c>
      <c r="J269" s="106"/>
      <c r="R269" s="124"/>
      <c r="S269" s="106"/>
    </row>
    <row r="270" spans="2:19" ht="15" customHeight="1">
      <c r="B270" s="105">
        <f t="shared" si="25"/>
        <v>5.3399999999999741</v>
      </c>
      <c r="C270" s="105">
        <f t="shared" si="26"/>
        <v>5.5674788536801455E-3</v>
      </c>
      <c r="D270" s="105">
        <f t="shared" si="27"/>
        <v>3.518505043254086E-2</v>
      </c>
      <c r="F270" s="105">
        <f t="shared" si="28"/>
        <v>5.3399999999999741</v>
      </c>
      <c r="G270" s="105">
        <f t="shared" si="30"/>
        <v>1.3609392753440351E-2</v>
      </c>
      <c r="H270" s="105">
        <f t="shared" si="29"/>
        <v>6.3654924133453403E-2</v>
      </c>
      <c r="J270" s="106"/>
      <c r="R270" s="124"/>
      <c r="S270" s="106"/>
    </row>
    <row r="271" spans="2:19" ht="15" customHeight="1">
      <c r="B271" s="105">
        <f t="shared" si="25"/>
        <v>5.3599999999999737</v>
      </c>
      <c r="C271" s="105">
        <f t="shared" si="26"/>
        <v>5.5260080196035304E-3</v>
      </c>
      <c r="D271" s="105">
        <f t="shared" si="27"/>
        <v>3.50537629309269E-2</v>
      </c>
      <c r="F271" s="105">
        <f t="shared" si="28"/>
        <v>5.3599999999999737</v>
      </c>
      <c r="G271" s="105">
        <f t="shared" si="30"/>
        <v>1.3508019603475292E-2</v>
      </c>
      <c r="H271" s="105">
        <f t="shared" si="29"/>
        <v>6.3417405759821119E-2</v>
      </c>
      <c r="J271" s="106"/>
      <c r="R271" s="124"/>
      <c r="S271" s="106"/>
    </row>
    <row r="272" spans="2:19" ht="15" customHeight="1">
      <c r="B272" s="105">
        <f t="shared" si="25"/>
        <v>5.3799999999999732</v>
      </c>
      <c r="C272" s="105">
        <f t="shared" si="26"/>
        <v>5.4849988253341435E-3</v>
      </c>
      <c r="D272" s="105">
        <f t="shared" si="27"/>
        <v>3.4923451544566581E-2</v>
      </c>
      <c r="F272" s="105">
        <f t="shared" si="28"/>
        <v>5.3799999999999732</v>
      </c>
      <c r="G272" s="105">
        <f t="shared" si="30"/>
        <v>1.3407774906372348E-2</v>
      </c>
      <c r="H272" s="105">
        <f t="shared" si="29"/>
        <v>6.3181653322052292E-2</v>
      </c>
      <c r="J272" s="106"/>
      <c r="R272" s="124"/>
      <c r="S272" s="106"/>
    </row>
    <row r="273" spans="2:19" ht="15" customHeight="1">
      <c r="B273" s="105">
        <f t="shared" si="25"/>
        <v>5.3999999999999728</v>
      </c>
      <c r="C273" s="105">
        <f t="shared" si="26"/>
        <v>5.4444444444445E-3</v>
      </c>
      <c r="D273" s="105">
        <f t="shared" si="27"/>
        <v>3.479410542773486E-2</v>
      </c>
      <c r="F273" s="105">
        <f t="shared" si="28"/>
        <v>5.3999999999999728</v>
      </c>
      <c r="G273" s="105">
        <f t="shared" si="30"/>
        <v>1.3308641975308774E-2</v>
      </c>
      <c r="H273" s="105">
        <f t="shared" si="29"/>
        <v>6.2947647198637283E-2</v>
      </c>
      <c r="J273" s="106"/>
      <c r="R273" s="124"/>
      <c r="S273" s="106"/>
    </row>
    <row r="274" spans="2:19" ht="15" customHeight="1">
      <c r="B274" s="105">
        <f t="shared" si="25"/>
        <v>5.4199999999999724</v>
      </c>
      <c r="C274" s="105">
        <f t="shared" si="26"/>
        <v>5.4043381762231462E-3</v>
      </c>
      <c r="D274" s="105">
        <f t="shared" si="27"/>
        <v>3.4665713894791186E-2</v>
      </c>
      <c r="F274" s="105">
        <f t="shared" si="28"/>
        <v>5.4199999999999724</v>
      </c>
      <c r="G274" s="105">
        <f t="shared" si="30"/>
        <v>1.3210604430767686E-2</v>
      </c>
      <c r="H274" s="105">
        <f t="shared" si="29"/>
        <v>6.2715368057682894E-2</v>
      </c>
      <c r="J274" s="106"/>
      <c r="R274" s="124"/>
      <c r="S274" s="106"/>
    </row>
    <row r="275" spans="2:19" ht="15" customHeight="1">
      <c r="B275" s="105">
        <f t="shared" si="25"/>
        <v>5.439999999999972</v>
      </c>
      <c r="C275" s="105">
        <f t="shared" si="26"/>
        <v>5.3646734429066301E-3</v>
      </c>
      <c r="D275" s="105">
        <f t="shared" si="27"/>
        <v>3.4538266417236813E-2</v>
      </c>
      <c r="F275" s="105">
        <f t="shared" si="28"/>
        <v>5.439999999999972</v>
      </c>
      <c r="G275" s="105">
        <f t="shared" si="30"/>
        <v>1.3113646193771759E-2</v>
      </c>
      <c r="H275" s="105">
        <f t="shared" si="29"/>
        <v>6.2484796851588476E-2</v>
      </c>
      <c r="J275" s="106"/>
      <c r="R275" s="124"/>
      <c r="S275" s="106"/>
    </row>
    <row r="276" spans="2:19" ht="15" customHeight="1">
      <c r="B276" s="105">
        <f t="shared" si="25"/>
        <v>5.4599999999999715</v>
      </c>
      <c r="C276" s="105">
        <f t="shared" si="26"/>
        <v>5.325443786982304E-3</v>
      </c>
      <c r="D276" s="105">
        <f t="shared" si="27"/>
        <v>3.4411752620836678E-2</v>
      </c>
      <c r="F276" s="105">
        <f t="shared" si="28"/>
        <v>5.4599999999999715</v>
      </c>
      <c r="G276" s="105">
        <f t="shared" si="30"/>
        <v>1.3017751479290074E-2</v>
      </c>
      <c r="H276" s="105">
        <f t="shared" si="29"/>
        <v>6.2255914811839085E-2</v>
      </c>
      <c r="J276" s="106"/>
      <c r="R276" s="124"/>
      <c r="S276" s="106"/>
    </row>
    <row r="277" spans="2:19" ht="15" customHeight="1">
      <c r="B277" s="105">
        <f t="shared" si="25"/>
        <v>5.4799999999999711</v>
      </c>
      <c r="C277" s="105">
        <f t="shared" si="26"/>
        <v>5.2866428685599152E-3</v>
      </c>
      <c r="D277" s="105">
        <f t="shared" si="27"/>
        <v>3.4286162282804428E-2</v>
      </c>
      <c r="F277" s="105">
        <f t="shared" si="28"/>
        <v>5.4799999999999711</v>
      </c>
      <c r="G277" s="105">
        <f t="shared" si="30"/>
        <v>1.2922904789813124E-2</v>
      </c>
      <c r="H277" s="105">
        <f t="shared" si="29"/>
        <v>6.2028703443912668E-2</v>
      </c>
      <c r="J277" s="106"/>
      <c r="R277" s="124"/>
      <c r="S277" s="106"/>
    </row>
    <row r="278" spans="2:19" ht="15" customHeight="1">
      <c r="B278" s="105">
        <f t="shared" si="25"/>
        <v>5.4999999999999707</v>
      </c>
      <c r="C278" s="105">
        <f t="shared" si="26"/>
        <v>5.2482644628099743E-3</v>
      </c>
      <c r="D278" s="105">
        <f t="shared" si="27"/>
        <v>3.416148532904878E-2</v>
      </c>
      <c r="F278" s="105">
        <f t="shared" si="28"/>
        <v>5.4999999999999707</v>
      </c>
      <c r="G278" s="105">
        <f t="shared" si="30"/>
        <v>1.2829090909091043E-2</v>
      </c>
      <c r="H278" s="105">
        <f t="shared" si="29"/>
        <v>6.1803144522298431E-2</v>
      </c>
      <c r="J278" s="106"/>
      <c r="R278" s="124"/>
      <c r="S278" s="106"/>
    </row>
    <row r="279" spans="2:19" ht="15" customHeight="1">
      <c r="B279" s="105">
        <f t="shared" si="25"/>
        <v>5.5199999999999703</v>
      </c>
      <c r="C279" s="105">
        <f t="shared" si="26"/>
        <v>5.2103024574669757E-3</v>
      </c>
      <c r="D279" s="105">
        <f t="shared" si="27"/>
        <v>3.4037711831479765E-2</v>
      </c>
      <c r="F279" s="105">
        <f t="shared" si="28"/>
        <v>5.5199999999999703</v>
      </c>
      <c r="G279" s="105">
        <f t="shared" si="30"/>
        <v>1.2736294896030381E-2</v>
      </c>
      <c r="H279" s="105">
        <f t="shared" si="29"/>
        <v>6.1579220085623443E-2</v>
      </c>
      <c r="J279" s="106"/>
      <c r="R279" s="124"/>
      <c r="S279" s="106"/>
    </row>
    <row r="280" spans="2:19" ht="15" customHeight="1">
      <c r="B280" s="105">
        <f t="shared" si="25"/>
        <v>5.5399999999999698</v>
      </c>
      <c r="C280" s="105">
        <f t="shared" si="26"/>
        <v>5.1727508503956049E-3</v>
      </c>
      <c r="D280" s="105">
        <f t="shared" si="27"/>
        <v>3.391483200537334E-2</v>
      </c>
      <c r="F280" s="105">
        <f t="shared" si="28"/>
        <v>5.5399999999999698</v>
      </c>
      <c r="G280" s="105">
        <f t="shared" si="30"/>
        <v>1.2644502078744808E-2</v>
      </c>
      <c r="H280" s="105">
        <f t="shared" si="29"/>
        <v>6.1356912431884722E-2</v>
      </c>
      <c r="J280" s="106"/>
      <c r="R280" s="124"/>
      <c r="S280" s="106"/>
    </row>
    <row r="281" spans="2:19" ht="15" customHeight="1">
      <c r="B281" s="105">
        <f t="shared" si="25"/>
        <v>5.5599999999999694</v>
      </c>
      <c r="C281" s="105">
        <f t="shared" si="26"/>
        <v>5.1356037472181093E-3</v>
      </c>
      <c r="D281" s="105">
        <f t="shared" si="27"/>
        <v>3.3792836206792853E-2</v>
      </c>
      <c r="F281" s="105">
        <f t="shared" si="28"/>
        <v>5.5599999999999694</v>
      </c>
      <c r="G281" s="105">
        <f t="shared" si="30"/>
        <v>1.2553698048755375E-2</v>
      </c>
      <c r="H281" s="105">
        <f t="shared" si="29"/>
        <v>6.1136204113784426E-2</v>
      </c>
      <c r="J281" s="106"/>
      <c r="R281" s="124"/>
      <c r="S281" s="106"/>
    </row>
    <row r="282" spans="2:19" ht="15" customHeight="1">
      <c r="B282" s="105">
        <f t="shared" si="25"/>
        <v>5.579999999999969</v>
      </c>
      <c r="C282" s="105">
        <f t="shared" si="26"/>
        <v>5.0988553590010973E-3</v>
      </c>
      <c r="D282" s="105">
        <f t="shared" si="27"/>
        <v>3.3671714930066002E-2</v>
      </c>
      <c r="F282" s="105">
        <f t="shared" si="28"/>
        <v>5.579999999999969</v>
      </c>
      <c r="G282" s="105">
        <f t="shared" si="30"/>
        <v>1.2463868655336012E-2</v>
      </c>
      <c r="H282" s="105">
        <f t="shared" si="29"/>
        <v>6.0917077934165141E-2</v>
      </c>
      <c r="J282" s="106"/>
      <c r="R282" s="124"/>
      <c r="S282" s="106"/>
    </row>
    <row r="283" spans="2:19" ht="15" customHeight="1">
      <c r="B283" s="105">
        <f t="shared" si="25"/>
        <v>5.5999999999999686</v>
      </c>
      <c r="C283" s="105">
        <f t="shared" si="26"/>
        <v>5.0625000000000574E-3</v>
      </c>
      <c r="D283" s="105">
        <f t="shared" si="27"/>
        <v>3.3551458805315772E-2</v>
      </c>
      <c r="F283" s="105">
        <f t="shared" si="28"/>
        <v>5.5999999999999686</v>
      </c>
      <c r="G283" s="105">
        <f t="shared" si="30"/>
        <v>1.2375000000000136E-2</v>
      </c>
      <c r="H283" s="105">
        <f t="shared" si="29"/>
        <v>6.0699516941543123E-2</v>
      </c>
      <c r="J283" s="106"/>
      <c r="R283" s="124"/>
      <c r="S283" s="106"/>
    </row>
    <row r="284" spans="2:19" ht="15" customHeight="1">
      <c r="B284" s="105">
        <f t="shared" si="25"/>
        <v>5.6199999999999681</v>
      </c>
      <c r="C284" s="105">
        <f t="shared" si="26"/>
        <v>5.0265320854599674E-3</v>
      </c>
      <c r="D284" s="105">
        <f t="shared" si="27"/>
        <v>3.343205859604418E-2</v>
      </c>
      <c r="F284" s="105">
        <f t="shared" si="28"/>
        <v>5.6199999999999681</v>
      </c>
      <c r="G284" s="105">
        <f t="shared" si="30"/>
        <v>1.2287078431124362E-2</v>
      </c>
      <c r="H284" s="105">
        <f t="shared" si="29"/>
        <v>6.0483504425736911E-2</v>
      </c>
      <c r="J284" s="106"/>
      <c r="R284" s="124"/>
      <c r="S284" s="106"/>
    </row>
    <row r="285" spans="2:19" ht="15" customHeight="1">
      <c r="B285" s="105">
        <f t="shared" si="25"/>
        <v>5.6399999999999677</v>
      </c>
      <c r="C285" s="105">
        <f t="shared" si="26"/>
        <v>4.9909461294704062E-3</v>
      </c>
      <c r="D285" s="105">
        <f t="shared" si="27"/>
        <v>3.3313505196767443E-2</v>
      </c>
      <c r="F285" s="105">
        <f t="shared" si="28"/>
        <v>5.6399999999999677</v>
      </c>
      <c r="G285" s="105">
        <f t="shared" si="30"/>
        <v>1.2200090538705433E-2</v>
      </c>
      <c r="H285" s="105">
        <f t="shared" si="29"/>
        <v>6.0269023913588918E-2</v>
      </c>
      <c r="J285" s="106"/>
      <c r="R285" s="124"/>
      <c r="S285" s="106"/>
    </row>
    <row r="286" spans="2:19" ht="15" customHeight="1">
      <c r="B286" s="105">
        <f t="shared" si="25"/>
        <v>5.6599999999999673</v>
      </c>
      <c r="C286" s="105">
        <f t="shared" si="26"/>
        <v>4.9557367428736104E-3</v>
      </c>
      <c r="D286" s="105">
        <f t="shared" si="27"/>
        <v>3.319578963070112E-2</v>
      </c>
      <c r="F286" s="105">
        <f t="shared" si="28"/>
        <v>5.6599999999999673</v>
      </c>
      <c r="G286" s="105">
        <f t="shared" si="30"/>
        <v>1.2114023149246599E-2</v>
      </c>
      <c r="H286" s="105">
        <f t="shared" si="29"/>
        <v>6.0056059164777645E-2</v>
      </c>
      <c r="J286" s="106"/>
      <c r="R286" s="124"/>
      <c r="S286" s="106"/>
    </row>
    <row r="287" spans="2:19" ht="15" customHeight="1">
      <c r="B287" s="105">
        <f t="shared" si="25"/>
        <v>5.6799999999999669</v>
      </c>
      <c r="C287" s="105">
        <f t="shared" si="26"/>
        <v>4.9208986312240218E-3</v>
      </c>
      <c r="D287" s="105">
        <f t="shared" si="27"/>
        <v>3.3078903047494439E-2</v>
      </c>
      <c r="F287" s="105">
        <f t="shared" si="28"/>
        <v>5.6799999999999669</v>
      </c>
      <c r="G287" s="105">
        <f t="shared" si="30"/>
        <v>1.2028863320769826E-2</v>
      </c>
      <c r="H287" s="105">
        <f t="shared" si="29"/>
        <v>5.9844594167718583E-2</v>
      </c>
      <c r="J287" s="106"/>
      <c r="R287" s="124"/>
      <c r="S287" s="106"/>
    </row>
    <row r="288" spans="2:19" ht="15" customHeight="1">
      <c r="B288" s="105">
        <f t="shared" si="25"/>
        <v>5.6999999999999664</v>
      </c>
      <c r="C288" s="105">
        <f t="shared" si="26"/>
        <v>4.8864265927978413E-3</v>
      </c>
      <c r="D288" s="105">
        <f t="shared" si="27"/>
        <v>3.2962836721011995E-2</v>
      </c>
      <c r="F288" s="105">
        <f t="shared" si="28"/>
        <v>5.6999999999999664</v>
      </c>
      <c r="G288" s="105">
        <f t="shared" si="30"/>
        <v>1.1944598337950276E-2</v>
      </c>
      <c r="H288" s="105">
        <f t="shared" si="29"/>
        <v>5.963461313555115E-2</v>
      </c>
      <c r="J288" s="106"/>
      <c r="R288" s="124"/>
      <c r="S288" s="106"/>
    </row>
    <row r="289" spans="2:19" ht="15" customHeight="1">
      <c r="B289" s="105">
        <f t="shared" si="25"/>
        <v>5.719999999999966</v>
      </c>
      <c r="C289" s="105">
        <f t="shared" si="26"/>
        <v>4.8523155166512386E-3</v>
      </c>
      <c r="D289" s="105">
        <f t="shared" si="27"/>
        <v>3.2847582047162302E-2</v>
      </c>
      <c r="F289" s="105">
        <f t="shared" si="28"/>
        <v>5.719999999999966</v>
      </c>
      <c r="G289" s="105">
        <f>IF(F289=0,#REF!,IF(AND(F289&gt;0,F289&lt;=$P$9),$P$7+(($P$8-$P$7)/($P$9-$F$3)*(F289-$F$3)),IF(AND(F289&gt;$P$9,F289&lt;=$P$10),$P$8,IF(AND(F289&gt;$P$10,F289&lt;=$P$11),$P$12/F289,IF(F289&gt;$P$11,$P$13/F289^2)))))</f>
        <v>1.1861215707369692E-2</v>
      </c>
      <c r="H289" s="105">
        <f t="shared" si="29"/>
        <v>5.9426100502210068E-2</v>
      </c>
      <c r="J289" s="106"/>
      <c r="R289" s="124"/>
      <c r="S289" s="106"/>
    </row>
    <row r="290" spans="2:19" ht="15" customHeight="1">
      <c r="B290" s="105">
        <f t="shared" si="25"/>
        <v>5.7399999999999656</v>
      </c>
      <c r="C290" s="105">
        <f t="shared" si="26"/>
        <v>4.8185603807258167E-3</v>
      </c>
      <c r="D290" s="105">
        <f t="shared" si="27"/>
        <v>3.2733130541771502E-2</v>
      </c>
      <c r="F290" s="105">
        <f t="shared" si="28"/>
        <v>5.7399999999999656</v>
      </c>
      <c r="G290" s="105">
        <f>IF(F290=0,#REF!,IF(AND(F290&gt;0,F290&lt;=$P$9),$P$7+(($P$8-$P$7)/($P$9-$F$3)*(F290-$F$3)),IF(AND(F290&gt;$P$9,F290&lt;=$P$10),$P$8,IF(AND(F290&gt;$P$10,F290&lt;=$P$11),$P$12/F290,IF(F290&gt;$P$11,$P$13/F290^2)))))</f>
        <v>1.1778703152885327E-2</v>
      </c>
      <c r="H290" s="105">
        <f t="shared" si="29"/>
        <v>5.9219040918578686E-2</v>
      </c>
      <c r="J290" s="106"/>
      <c r="R290" s="124"/>
      <c r="S290" s="106"/>
    </row>
    <row r="291" spans="2:19" ht="15" customHeight="1">
      <c r="B291" s="105">
        <f t="shared" si="25"/>
        <v>5.7599999999999651</v>
      </c>
      <c r="C291" s="105">
        <f t="shared" si="26"/>
        <v>4.7851562500000576E-3</v>
      </c>
      <c r="D291" s="105">
        <f t="shared" si="27"/>
        <v>3.2619473838501452E-2</v>
      </c>
      <c r="F291" s="105">
        <f t="shared" si="28"/>
        <v>5.7599999999999651</v>
      </c>
      <c r="G291" s="105">
        <f>IF(F291=0,#REF!,IF(AND(F291&gt;0,F291&lt;=$P$9),$P$7+(($P$8-$P$7)/($P$9-$F$3)*(F291-$F$3)),IF(AND(F291&gt;$P$9,F291&lt;=$P$10),$P$8,IF(AND(F291&gt;$P$10,F291&lt;=$P$11),$P$12/F291,IF(F291&gt;$P$11,$P$13/F291^2)))))</f>
        <v>1.169704861111125E-2</v>
      </c>
      <c r="H291" s="105">
        <f t="shared" si="29"/>
        <v>5.9013419248722505E-2</v>
      </c>
      <c r="J291" s="106"/>
      <c r="R291" s="124"/>
      <c r="S291" s="106"/>
    </row>
    <row r="292" spans="2:19" ht="15" customHeight="1">
      <c r="B292" s="105">
        <f t="shared" si="25"/>
        <v>5.7799999999999647</v>
      </c>
      <c r="C292" s="105">
        <f t="shared" si="26"/>
        <v>4.7520982746854668E-3</v>
      </c>
      <c r="D292" s="105">
        <f t="shared" si="27"/>
        <v>3.2506603686811145E-2</v>
      </c>
      <c r="F292" s="105">
        <f t="shared" si="28"/>
        <v>5.7799999999999647</v>
      </c>
      <c r="G292" s="105">
        <f>IF(F292=0,#REF!,IF(AND(F292&gt;0,F292&lt;=$P$9),$P$7+(($P$8-$P$7)/($P$9-$F$3)*(F292-$F$3)),IF(AND(F292&gt;$P$9,F292&lt;=$P$10),$P$8,IF(AND(F292&gt;$P$10,F292&lt;=$P$11),$P$12/F292,IF(F292&gt;$P$11,$P$13/F292^2)))))</f>
        <v>1.1616240227008915E-2</v>
      </c>
      <c r="H292" s="105">
        <f t="shared" si="29"/>
        <v>5.880922056620097E-2</v>
      </c>
      <c r="J292" s="106"/>
      <c r="R292" s="124"/>
      <c r="S292" s="106"/>
    </row>
    <row r="293" spans="2:19" ht="15" customHeight="1">
      <c r="B293" s="105">
        <f t="shared" si="25"/>
        <v>5.7999999999999643</v>
      </c>
      <c r="C293" s="105">
        <f t="shared" si="26"/>
        <v>4.7193816884661703E-3</v>
      </c>
      <c r="D293" s="105">
        <f t="shared" si="27"/>
        <v>3.2394511949960077E-2</v>
      </c>
      <c r="F293" s="105">
        <f t="shared" si="28"/>
        <v>5.7999999999999643</v>
      </c>
      <c r="G293" s="105">
        <f>IF(F293=0,#REF!,IF(AND(F293&gt;0,F293&lt;=$P$9),$P$7+(($P$8-$P$7)/($P$9-$F$3)*(F293-$F$3)),IF(AND(F293&gt;$P$9,F293&lt;=$P$10),$P$8,IF(AND(F293&gt;$P$10,F293&lt;=$P$11),$P$12/F293,IF(F293&gt;$P$11,$P$13/F293^2)))))</f>
        <v>1.1536266349583968E-2</v>
      </c>
      <c r="H293" s="105">
        <f t="shared" si="29"/>
        <v>5.8606430150455455E-2</v>
      </c>
      <c r="J293" s="106"/>
      <c r="R293" s="124"/>
      <c r="S293" s="106"/>
    </row>
    <row r="294" spans="2:19" ht="15" customHeight="1">
      <c r="B294" s="105">
        <f t="shared" si="25"/>
        <v>5.8199999999999639</v>
      </c>
      <c r="C294" s="105">
        <f t="shared" si="26"/>
        <v>4.6870018067808007E-3</v>
      </c>
      <c r="D294" s="105">
        <f t="shared" si="27"/>
        <v>3.2283190603053E-2</v>
      </c>
      <c r="F294" s="105">
        <f t="shared" si="28"/>
        <v>5.8199999999999639</v>
      </c>
      <c r="G294" s="105">
        <f>IF(F294=0,#REF!,IF(AND(F294&gt;0,F294&lt;=$P$9),$P$7+(($P$8-$P$7)/($P$9-$F$3)*(F294-$F$3)),IF(AND(F294&gt;$P$9,F294&lt;=$P$10),$P$8,IF(AND(F294&gt;$P$10,F294&lt;=$P$11),$P$12/F294,IF(F294&gt;$P$11,$P$13/F294^2)))))</f>
        <v>1.1457115527686398E-2</v>
      </c>
      <c r="H294" s="105">
        <f t="shared" si="29"/>
        <v>5.8405033483271772E-2</v>
      </c>
      <c r="J294" s="106"/>
      <c r="R294" s="124"/>
      <c r="S294" s="106"/>
    </row>
    <row r="295" spans="2:19" ht="15" customHeight="1">
      <c r="B295" s="105">
        <f t="shared" si="25"/>
        <v>5.8399999999999634</v>
      </c>
      <c r="C295" s="105">
        <f t="shared" si="26"/>
        <v>4.6549540251454892E-3</v>
      </c>
      <c r="D295" s="105">
        <f t="shared" si="27"/>
        <v>3.217263173112473E-2</v>
      </c>
      <c r="F295" s="105">
        <f t="shared" si="28"/>
        <v>5.8399999999999634</v>
      </c>
      <c r="G295" s="105">
        <f>IF(F295=0,#REF!,IF(AND(F295&gt;0,F295&lt;=$P$9),$P$7+(($P$8-$P$7)/($P$9-$F$3)*(F295-$F$3)),IF(AND(F295&gt;$P$9,F295&lt;=$P$10),$P$8,IF(AND(F295&gt;$P$10,F295&lt;=$P$11),$P$12/F295,IF(F295&gt;$P$11,$P$13/F295^2)))))</f>
        <v>1.1378776505911192E-2</v>
      </c>
      <c r="H295" s="105">
        <f t="shared" si="29"/>
        <v>5.8205016245315357E-2</v>
      </c>
      <c r="J295" s="106"/>
      <c r="R295" s="124"/>
      <c r="S295" s="106"/>
    </row>
    <row r="296" spans="2:19" ht="15" customHeight="1">
      <c r="B296" s="105">
        <f t="shared" si="25"/>
        <v>5.859999999999963</v>
      </c>
      <c r="C296" s="105">
        <f t="shared" si="26"/>
        <v>4.6232338175168615E-3</v>
      </c>
      <c r="D296" s="105">
        <f t="shared" si="27"/>
        <v>3.2062827527264248E-2</v>
      </c>
      <c r="F296" s="105">
        <f t="shared" si="28"/>
        <v>5.859999999999963</v>
      </c>
      <c r="G296" s="105">
        <f>IF(F296=0,#REF!,IF(AND(F296&gt;0,F296&lt;=$P$9),$P$7+(($P$8-$P$7)/($P$9-$F$3)*(F296-$F$3)),IF(AND(F296&gt;$P$9,F296&lt;=$P$10),$P$8,IF(AND(F296&gt;$P$10,F296&lt;=$P$11),$P$12/F296,IF(F296&gt;$P$11,$P$13/F296^2)))))</f>
        <v>1.130123822059677E-2</v>
      </c>
      <c r="H296" s="105">
        <f t="shared" si="29"/>
        <v>5.8006364312737493E-2</v>
      </c>
      <c r="J296" s="106"/>
      <c r="R296" s="124"/>
      <c r="S296" s="106"/>
    </row>
    <row r="297" spans="2:19" ht="15" customHeight="1">
      <c r="B297" s="105">
        <f t="shared" si="25"/>
        <v>5.8799999999999626</v>
      </c>
      <c r="C297" s="105">
        <f t="shared" si="26"/>
        <v>4.5918367346939369E-3</v>
      </c>
      <c r="D297" s="105">
        <f t="shared" si="27"/>
        <v>3.1953770290776957E-2</v>
      </c>
      <c r="F297" s="105">
        <f t="shared" si="28"/>
        <v>5.8799999999999626</v>
      </c>
      <c r="G297" s="105">
        <f>IF(F297=0,#REF!,IF(AND(F297&gt;0,F297&lt;=$P$9),$P$7+(($P$8-$P$7)/($P$9-$F$3)*(F297-$F$3)),IF(AND(F297&gt;$P$9,F297&lt;=$P$10),$P$8,IF(AND(F297&gt;$P$10,F297&lt;=$P$11),$P$12/F297,IF(F297&gt;$P$11,$P$13/F297^2)))))</f>
        <v>1.1224489795918509E-2</v>
      </c>
      <c r="H297" s="105">
        <f t="shared" si="29"/>
        <v>5.7809063753850642E-2</v>
      </c>
      <c r="J297" s="106"/>
      <c r="R297" s="124"/>
      <c r="S297" s="106"/>
    </row>
    <row r="298" spans="2:19" ht="15" customHeight="1">
      <c r="B298" s="105">
        <f t="shared" si="25"/>
        <v>5.8999999999999622</v>
      </c>
      <c r="C298" s="105">
        <f t="shared" si="26"/>
        <v>4.5607584027578868E-3</v>
      </c>
      <c r="D298" s="105">
        <f t="shared" si="27"/>
        <v>3.1845452425384481E-2</v>
      </c>
      <c r="F298" s="105">
        <f t="shared" si="28"/>
        <v>5.8999999999999622</v>
      </c>
      <c r="G298" s="105">
        <f>IF(F298=0,#REF!,IF(AND(F298&gt;0,F298&lt;=$P$9),$P$7+(($P$8-$P$7)/($P$9-$F$3)*(F298-$F$3)),IF(AND(F298&gt;$P$9,F298&lt;=$P$10),$P$8,IF(AND(F298&gt;$P$10,F298&lt;=$P$11),$P$12/F298,IF(F298&gt;$P$11,$P$13/F298^2)))))</f>
        <v>1.1148520540074832E-2</v>
      </c>
      <c r="H298" s="105">
        <f t="shared" si="29"/>
        <v>5.761310082587149E-2</v>
      </c>
      <c r="J298" s="106"/>
    </row>
    <row r="299" spans="2:19" ht="15" customHeight="1">
      <c r="B299" s="105">
        <f t="shared" si="25"/>
        <v>5.9199999999999617</v>
      </c>
      <c r="C299" s="105">
        <f t="shared" si="26"/>
        <v>4.5299945215486349E-3</v>
      </c>
      <c r="D299" s="105">
        <f t="shared" si="27"/>
        <v>3.1737866437460897E-2</v>
      </c>
      <c r="F299" s="105">
        <f t="shared" si="28"/>
        <v>5.9199999999999617</v>
      </c>
      <c r="G299" s="105">
        <f>IF(F299=0,#REF!,IF(AND(F299&gt;0,F299&lt;=$P$9),$P$7+(($P$8-$P$7)/($P$9-$F$3)*(F299-$F$3)),IF(AND(F299&gt;$P$9,F299&lt;=$P$10),$P$8,IF(AND(F299&gt;$P$10,F299&lt;=$P$11),$P$12/F299,IF(F299&gt;$P$11,$P$13/F299^2)))))</f>
        <v>1.1073319941563327E-2</v>
      </c>
      <c r="H299" s="105">
        <f t="shared" si="29"/>
        <v>5.7418461971730034E-2</v>
      </c>
      <c r="J299" s="106"/>
    </row>
    <row r="300" spans="2:19" ht="15" customHeight="1">
      <c r="B300" s="105">
        <f t="shared" si="25"/>
        <v>5.9399999999999613</v>
      </c>
      <c r="C300" s="105">
        <f t="shared" si="26"/>
        <v>4.4995408631772864E-3</v>
      </c>
      <c r="D300" s="105">
        <f t="shared" si="27"/>
        <v>3.1631004934304471E-2</v>
      </c>
      <c r="F300" s="105">
        <f t="shared" si="28"/>
        <v>5.9399999999999613</v>
      </c>
      <c r="G300" s="105">
        <f>IF(F300=0,#REF!,IF(AND(F300&gt;0,F300&lt;=$P$9),$P$7+(($P$8-$P$7)/($P$9-$F$3)*(F300-$F$3)),IF(AND(F300&gt;$P$9,F300&lt;=$P$10),$P$8,IF(AND(F300&gt;$P$10,F300&lt;=$P$11),$P$12/F300,IF(F300&gt;$P$11,$P$13/F300^2)))))</f>
        <v>1.0998877665544474E-2</v>
      </c>
      <c r="H300" s="105">
        <f t="shared" si="29"/>
        <v>5.7225133816943073E-2</v>
      </c>
      <c r="J300" s="106"/>
    </row>
    <row r="301" spans="2:19" ht="15" customHeight="1">
      <c r="B301" s="105">
        <f t="shared" si="25"/>
        <v>5.9599999999999609</v>
      </c>
      <c r="C301" s="105">
        <f t="shared" si="26"/>
        <v>4.4693932705734572E-3</v>
      </c>
      <c r="D301" s="105">
        <f t="shared" si="27"/>
        <v>3.1524860622444383E-2</v>
      </c>
      <c r="F301" s="105">
        <f t="shared" si="28"/>
        <v>5.9599999999999609</v>
      </c>
      <c r="G301" s="105">
        <f>IF(F301=0,#REF!,IF(AND(F301&gt;0,F301&lt;=$P$9),$P$7+(($P$8-$P$7)/($P$9-$F$3)*(F301-$F$3)),IF(AND(F301&gt;$P$9,F301&lt;=$P$10),$P$8,IF(AND(F301&gt;$P$10,F301&lt;=$P$11),$P$12/F301,IF(F301&gt;$P$11,$P$13/F301^2)))))</f>
        <v>1.092518355029067E-2</v>
      </c>
      <c r="H301" s="105">
        <f t="shared" si="29"/>
        <v>5.7033103166550643E-2</v>
      </c>
      <c r="J301" s="106"/>
    </row>
    <row r="302" spans="2:19" ht="15" customHeight="1">
      <c r="B302" s="105">
        <f t="shared" si="25"/>
        <v>5.9799999999999605</v>
      </c>
      <c r="C302" s="105">
        <f t="shared" si="26"/>
        <v>4.439547656066546E-3</v>
      </c>
      <c r="D302" s="105">
        <f t="shared" si="27"/>
        <v>3.1419426305981359E-2</v>
      </c>
      <c r="F302" s="105">
        <f t="shared" si="28"/>
        <v>5.9799999999999605</v>
      </c>
      <c r="G302" s="105">
        <f>IF(F302=0,#REF!,IF(AND(F302&gt;0,F302&lt;=$P$9),$P$7+(($P$8-$P$7)/($P$9-$F$3)*(F302-$F$3)),IF(AND(F302&gt;$P$9,F302&lt;=$P$10),$P$8,IF(AND(F302&gt;$P$10,F302&lt;=$P$11),$P$12/F302,IF(F302&gt;$P$11,$P$13/F302^2)))))</f>
        <v>1.085222760371822E-2</v>
      </c>
      <c r="H302" s="105">
        <f t="shared" si="29"/>
        <v>5.6842357002114013E-2</v>
      </c>
      <c r="J302" s="106"/>
    </row>
    <row r="303" spans="2:19" ht="15" customHeight="1">
      <c r="B303" s="105">
        <f t="shared" si="25"/>
        <v>5.99999999999996</v>
      </c>
      <c r="C303" s="105">
        <f t="shared" si="26"/>
        <v>4.4100000000000597E-3</v>
      </c>
      <c r="D303" s="105">
        <f t="shared" si="27"/>
        <v>3.1314694884961421E-2</v>
      </c>
      <c r="F303" s="105">
        <f t="shared" si="28"/>
        <v>5.99999999999996</v>
      </c>
      <c r="G303" s="105">
        <f>IF(F303=0,#REF!,IF(AND(F303&gt;0,F303&lt;=$P$9),$P$7+(($P$8-$P$7)/($P$9-$F$3)*(F303-$F$3)),IF(AND(F303&gt;$P$9,F303&lt;=$P$10),$P$8,IF(AND(F303&gt;$P$10,F303&lt;=$P$11),$P$12/F303,IF(F303&gt;$P$11,$P$13/F303^2)))))</f>
        <v>1.0780000000000142E-2</v>
      </c>
      <c r="H303" s="105">
        <f t="shared" si="29"/>
        <v>5.665288247877364E-2</v>
      </c>
      <c r="J303" s="106"/>
    </row>
  </sheetData>
  <sheetProtection selectLockedCells="1" selectUnlockedCells="1"/>
  <mergeCells count="4">
    <mergeCell ref="L2:L3"/>
    <mergeCell ref="N2:P2"/>
    <mergeCell ref="O6:P6"/>
    <mergeCell ref="L6:M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검토결과 요약(인쇄X)</vt:lpstr>
      <vt:lpstr>하안송수관로 01(01)</vt:lpstr>
      <vt:lpstr>주철관 Sta.No 0+0.0</vt:lpstr>
      <vt:lpstr>설계응답스펙트럼(출력 X)</vt:lpstr>
      <vt:lpstr>'주철관 Sta.No 0+0.0'!Print_Area</vt:lpstr>
      <vt:lpstr>'하안송수관로 01(01)'!Print_Area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송광석</dc:creator>
  <cp:lastModifiedBy>남성주</cp:lastModifiedBy>
  <cp:lastPrinted>2024-11-25T06:51:12Z</cp:lastPrinted>
  <dcterms:created xsi:type="dcterms:W3CDTF">2016-07-14T10:13:58Z</dcterms:created>
  <dcterms:modified xsi:type="dcterms:W3CDTF">2025-01-15T06:20:43Z</dcterms:modified>
</cp:coreProperties>
</file>