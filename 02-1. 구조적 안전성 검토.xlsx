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. PRIVACY\99_하안\"/>
    </mc:Choice>
  </mc:AlternateContent>
  <xr:revisionPtr revIDLastSave="0" documentId="13_ncr:1_{C8771E79-8F45-4256-9E15-E0C0A6EFE48F}" xr6:coauthVersionLast="47" xr6:coauthVersionMax="47" xr10:uidLastSave="{00000000-0000-0000-0000-000000000000}"/>
  <bookViews>
    <workbookView xWindow="28680" yWindow="-120" windowWidth="29040" windowHeight="15840" tabRatio="879" firstSheet="3" activeTab="7" xr2:uid="{76A6D332-9FDE-4BB8-B9CA-B5F1D4BA2620}"/>
  </bookViews>
  <sheets>
    <sheet name="&gt;" sheetId="5" state="hidden" r:id="rId1"/>
    <sheet name="2. 안전성 검토_계산조건" sheetId="2" state="hidden" r:id="rId2"/>
    <sheet name="3. 최소 관두께 만족 여부" sheetId="4" state="hidden" r:id="rId3"/>
    <sheet name="관로매설현황표" sheetId="16" r:id="rId4"/>
    <sheet name="내압에 의한 원주방향 응력 검토" sheetId="3" r:id="rId5"/>
    <sheet name="외압에 의한 원주방향 응력 검토" sheetId="6" r:id="rId6"/>
    <sheet name="변형율, 좌굴하중 검토" sheetId="11" r:id="rId7"/>
    <sheet name="◆내외압에 의한 응력 안전율 결과 정리" sheetId="9" r:id="rId8"/>
  </sheets>
  <definedNames>
    <definedName name="_xlnm._FilterDatabase" localSheetId="7" hidden="1">'◆내외압에 의한 응력 안전율 결과 정리'!$A$4:$H$4</definedName>
    <definedName name="_xlnm._FilterDatabase" localSheetId="1" hidden="1">'2. 안전성 검토_계산조건'!$B$2:$K$2</definedName>
    <definedName name="_xlnm._FilterDatabase" localSheetId="2" hidden="1">'3. 최소 관두께 만족 여부'!$O$5:$P$70</definedName>
    <definedName name="_xlnm._FilterDatabase" localSheetId="3" hidden="1">관로매설현황표!$A$3:$P$7</definedName>
    <definedName name="_xlnm._FilterDatabase" localSheetId="4" hidden="1">'내압에 의한 원주방향 응력 검토'!$A$4:$H$4</definedName>
    <definedName name="_xlnm._FilterDatabase" localSheetId="6" hidden="1">'변형율, 좌굴하중 검토'!$AF$10:$AG$10</definedName>
    <definedName name="_xlnm._FilterDatabase" localSheetId="5" hidden="1">'외압에 의한 원주방향 응력 검토'!$A$9:$Z$17</definedName>
    <definedName name="_xlnm.Print_Area" localSheetId="7">'◆내외압에 의한 응력 안전율 결과 정리'!$J$1:$X$8</definedName>
    <definedName name="_xlnm.Print_Area" localSheetId="1">'2. 안전성 검토_계산조건'!$B$1:$N$67</definedName>
    <definedName name="_xlnm.Print_Area" localSheetId="2">'3. 최소 관두께 만족 여부'!$B$1:$P$70</definedName>
    <definedName name="_xlnm.Print_Area" localSheetId="3">관로매설현황표!$A$1:$P$7</definedName>
    <definedName name="_xlnm.Print_Area" localSheetId="4">'내압에 의한 원주방향 응력 검토'!$C$1:$M$15</definedName>
    <definedName name="_xlnm.Print_Area" localSheetId="6">'변형율, 좌굴하중 검토'!$B$7:$AN$14</definedName>
    <definedName name="_xlnm.Print_Area" localSheetId="5">'외압에 의한 원주방향 응력 검토'!$B$9:$Z$17</definedName>
    <definedName name="_xlnm.Print_Titles" localSheetId="7">'◆내외압에 의한 응력 안전율 결과 정리'!$1:$4</definedName>
    <definedName name="_xlnm.Print_Titles" localSheetId="1">'2. 안전성 검토_계산조건'!$1:$2</definedName>
    <definedName name="_xlnm.Print_Titles" localSheetId="2">'3. 최소 관두께 만족 여부'!$1:$5</definedName>
    <definedName name="_xlnm.Print_Titles" localSheetId="3">관로매설현황표!$1:$3</definedName>
    <definedName name="_xlnm.Print_Titles" localSheetId="4">'내압에 의한 원주방향 응력 검토'!$1:$4</definedName>
    <definedName name="_xlnm.Print_Titles" localSheetId="6">'변형율, 좌굴하중 검토'!$9:$10</definedName>
    <definedName name="_xlnm.Print_Titles" localSheetId="5">'외압에 의한 원주방향 응력 검토'!$9:$13</definedName>
    <definedName name="삼천포종점" localSheetId="3">#REF!</definedName>
    <definedName name="삼천포종점">#REF!</definedName>
    <definedName name="서포종점" localSheetId="3">#REF!</definedName>
    <definedName name="서포종점">#REF!</definedName>
    <definedName name="원수종점" localSheetId="3">#REF!</definedName>
    <definedName name="원수종점">#REF!</definedName>
    <definedName name="충무종점" localSheetId="3">#REF!</definedName>
    <definedName name="충무종점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9" l="1"/>
  <c r="L6" i="9"/>
  <c r="L7" i="9"/>
  <c r="L8" i="9"/>
  <c r="L20" i="16"/>
  <c r="G8" i="9"/>
  <c r="G7" i="9"/>
  <c r="G6" i="9"/>
  <c r="G5" i="9"/>
  <c r="D8" i="9"/>
  <c r="D7" i="9"/>
  <c r="D6" i="9"/>
  <c r="D5" i="9"/>
  <c r="K8" i="9"/>
  <c r="J8" i="9"/>
  <c r="K7" i="9"/>
  <c r="J7" i="9"/>
  <c r="K6" i="9"/>
  <c r="J6" i="9"/>
  <c r="K5" i="9"/>
  <c r="J5" i="9"/>
  <c r="F14" i="11" l="1"/>
  <c r="F13" i="11"/>
  <c r="Y13" i="11" s="1"/>
  <c r="F12" i="11"/>
  <c r="Y12" i="11" s="1"/>
  <c r="F11" i="11"/>
  <c r="Y11" i="11" s="1"/>
  <c r="G14" i="11"/>
  <c r="G13" i="11"/>
  <c r="G12" i="11"/>
  <c r="G11" i="11"/>
  <c r="G8" i="3"/>
  <c r="G7" i="3"/>
  <c r="G6" i="3"/>
  <c r="G5" i="3"/>
  <c r="H7" i="16"/>
  <c r="H6" i="16"/>
  <c r="H5" i="16"/>
  <c r="H4" i="16"/>
  <c r="C5" i="3"/>
  <c r="B14" i="6" s="1"/>
  <c r="C6" i="3"/>
  <c r="B12" i="11" s="1"/>
  <c r="C7" i="3"/>
  <c r="B13" i="11" s="1"/>
  <c r="C8" i="3"/>
  <c r="B17" i="6" s="1"/>
  <c r="E8" i="3"/>
  <c r="D14" i="11" s="1"/>
  <c r="D8" i="3"/>
  <c r="E7" i="3"/>
  <c r="D13" i="11" s="1"/>
  <c r="D7" i="3"/>
  <c r="E6" i="3"/>
  <c r="D12" i="11" s="1"/>
  <c r="D6" i="3"/>
  <c r="E5" i="3"/>
  <c r="D11" i="11" s="1"/>
  <c r="D5" i="3"/>
  <c r="H8" i="9"/>
  <c r="F8" i="9"/>
  <c r="H7" i="9"/>
  <c r="F7" i="9"/>
  <c r="H6" i="9"/>
  <c r="F6" i="9"/>
  <c r="H5" i="9"/>
  <c r="F5" i="9"/>
  <c r="Y14" i="11"/>
  <c r="U14" i="11"/>
  <c r="U13" i="11"/>
  <c r="U12" i="11"/>
  <c r="U11" i="11"/>
  <c r="H14" i="11"/>
  <c r="H13" i="11"/>
  <c r="H12" i="11"/>
  <c r="H11" i="11"/>
  <c r="F17" i="6"/>
  <c r="T17" i="6" s="1"/>
  <c r="F16" i="6"/>
  <c r="T16" i="6" s="1"/>
  <c r="F15" i="6"/>
  <c r="T15" i="6" s="1"/>
  <c r="F14" i="6"/>
  <c r="T14" i="6" s="1"/>
  <c r="H17" i="6"/>
  <c r="H16" i="6"/>
  <c r="H15" i="6"/>
  <c r="H14" i="6"/>
  <c r="N3" i="3"/>
  <c r="I4" i="16" l="1"/>
  <c r="D4" i="16" s="1"/>
  <c r="C11" i="11"/>
  <c r="S5" i="3"/>
  <c r="C14" i="11"/>
  <c r="S8" i="3"/>
  <c r="C12" i="11"/>
  <c r="S6" i="3"/>
  <c r="C13" i="11"/>
  <c r="S7" i="3"/>
  <c r="B14" i="11"/>
  <c r="D15" i="6"/>
  <c r="B11" i="11"/>
  <c r="B15" i="6"/>
  <c r="D16" i="6"/>
  <c r="C15" i="6"/>
  <c r="C14" i="6"/>
  <c r="C17" i="6"/>
  <c r="D14" i="6"/>
  <c r="B16" i="6"/>
  <c r="D17" i="6"/>
  <c r="C16" i="6"/>
  <c r="I5" i="16"/>
  <c r="C5" i="9" l="1"/>
  <c r="F4" i="16"/>
  <c r="E5" i="9" s="1"/>
  <c r="G4" i="16"/>
  <c r="F5" i="3" s="1"/>
  <c r="D5" i="16"/>
  <c r="C6" i="9" s="1"/>
  <c r="I6" i="16"/>
  <c r="D6" i="16" s="1"/>
  <c r="C7" i="9" s="1"/>
  <c r="E11" i="11" l="1"/>
  <c r="E14" i="6"/>
  <c r="A14" i="6" s="1"/>
  <c r="I7" i="16"/>
  <c r="F6" i="16"/>
  <c r="E7" i="9" s="1"/>
  <c r="F5" i="16"/>
  <c r="G5" i="16" l="1"/>
  <c r="F6" i="3" s="1"/>
  <c r="E12" i="11" s="1"/>
  <c r="E6" i="9"/>
  <c r="D7" i="16"/>
  <c r="G6" i="16"/>
  <c r="F7" i="3" s="1"/>
  <c r="F7" i="16" l="1"/>
  <c r="C8" i="9"/>
  <c r="E13" i="11"/>
  <c r="E16" i="6"/>
  <c r="A16" i="6" s="1"/>
  <c r="E15" i="6"/>
  <c r="A15" i="6" s="1"/>
  <c r="G7" i="16" l="1"/>
  <c r="F8" i="3" s="1"/>
  <c r="E17" i="6" s="1"/>
  <c r="A17" i="6" s="1"/>
  <c r="E8" i="9"/>
  <c r="E14" i="11" l="1"/>
  <c r="Z14" i="11" l="1"/>
  <c r="O14" i="11"/>
  <c r="AA13" i="11"/>
  <c r="O13" i="11"/>
  <c r="AA12" i="11"/>
  <c r="Z11" i="11"/>
  <c r="O11" i="11"/>
  <c r="P3" i="11"/>
  <c r="AM2" i="11"/>
  <c r="P2" i="11"/>
  <c r="AM1" i="11"/>
  <c r="Z12" i="11" l="1"/>
  <c r="Z13" i="11"/>
  <c r="AA11" i="11"/>
  <c r="AA14" i="11"/>
  <c r="O12" i="11"/>
  <c r="A5" i="9"/>
  <c r="B5" i="9"/>
  <c r="A6" i="9"/>
  <c r="B6" i="9"/>
  <c r="A7" i="9"/>
  <c r="B7" i="9"/>
  <c r="A8" i="9"/>
  <c r="B8" i="9"/>
  <c r="M5" i="9" l="1"/>
  <c r="M6" i="9"/>
  <c r="M7" i="9"/>
  <c r="M8" i="9"/>
  <c r="N8" i="9"/>
  <c r="N7" i="9"/>
  <c r="N6" i="9"/>
  <c r="N5" i="9"/>
  <c r="AI2" i="6" l="1"/>
  <c r="AI3" i="6"/>
  <c r="K4" i="6" l="1"/>
  <c r="K3" i="6"/>
  <c r="V16" i="6" l="1"/>
  <c r="U16" i="6"/>
  <c r="V15" i="6"/>
  <c r="U15" i="6"/>
  <c r="V14" i="6"/>
  <c r="U14" i="6"/>
  <c r="V17" i="6"/>
  <c r="U17" i="6"/>
  <c r="J15" i="6"/>
  <c r="J16" i="6"/>
  <c r="J14" i="6"/>
  <c r="J17" i="6"/>
  <c r="G70" i="4"/>
  <c r="F70" i="4"/>
  <c r="O70" i="4" s="1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O68" i="4" s="1"/>
  <c r="E68" i="4"/>
  <c r="D68" i="4"/>
  <c r="C68" i="4"/>
  <c r="B68" i="4"/>
  <c r="A68" i="4"/>
  <c r="G67" i="4"/>
  <c r="F67" i="4"/>
  <c r="O67" i="4" s="1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O64" i="4" s="1"/>
  <c r="E64" i="4"/>
  <c r="D64" i="4"/>
  <c r="C64" i="4"/>
  <c r="B64" i="4"/>
  <c r="A64" i="4"/>
  <c r="G63" i="4"/>
  <c r="F63" i="4"/>
  <c r="O63" i="4" s="1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O61" i="4" s="1"/>
  <c r="E61" i="4"/>
  <c r="D61" i="4"/>
  <c r="C61" i="4"/>
  <c r="B61" i="4"/>
  <c r="A61" i="4"/>
  <c r="G60" i="4"/>
  <c r="F60" i="4"/>
  <c r="O60" i="4" s="1"/>
  <c r="E60" i="4"/>
  <c r="D60" i="4"/>
  <c r="C60" i="4"/>
  <c r="B60" i="4"/>
  <c r="A60" i="4"/>
  <c r="G59" i="4"/>
  <c r="F59" i="4"/>
  <c r="O59" i="4" s="1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O56" i="4" s="1"/>
  <c r="E56" i="4"/>
  <c r="D56" i="4"/>
  <c r="C56" i="4"/>
  <c r="B56" i="4"/>
  <c r="A56" i="4"/>
  <c r="G55" i="4"/>
  <c r="F55" i="4"/>
  <c r="O55" i="4" s="1"/>
  <c r="E55" i="4"/>
  <c r="D55" i="4"/>
  <c r="C55" i="4"/>
  <c r="B55" i="4"/>
  <c r="A55" i="4"/>
  <c r="G54" i="4"/>
  <c r="F54" i="4"/>
  <c r="O54" i="4" s="1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O52" i="4" s="1"/>
  <c r="E52" i="4"/>
  <c r="D52" i="4"/>
  <c r="C52" i="4"/>
  <c r="B52" i="4"/>
  <c r="A52" i="4"/>
  <c r="G51" i="4"/>
  <c r="F51" i="4"/>
  <c r="O51" i="4" s="1"/>
  <c r="E51" i="4"/>
  <c r="D51" i="4"/>
  <c r="C51" i="4"/>
  <c r="B51" i="4"/>
  <c r="A51" i="4"/>
  <c r="G50" i="4"/>
  <c r="F50" i="4"/>
  <c r="O50" i="4" s="1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O48" i="4" s="1"/>
  <c r="E48" i="4"/>
  <c r="D48" i="4"/>
  <c r="C48" i="4"/>
  <c r="B48" i="4"/>
  <c r="A48" i="4"/>
  <c r="G47" i="4"/>
  <c r="F47" i="4"/>
  <c r="O47" i="4" s="1"/>
  <c r="E47" i="4"/>
  <c r="D47" i="4"/>
  <c r="C47" i="4"/>
  <c r="B47" i="4"/>
  <c r="A47" i="4"/>
  <c r="G46" i="4"/>
  <c r="F46" i="4"/>
  <c r="O46" i="4" s="1"/>
  <c r="E46" i="4"/>
  <c r="D46" i="4"/>
  <c r="C46" i="4"/>
  <c r="B46" i="4"/>
  <c r="A46" i="4"/>
  <c r="G45" i="4"/>
  <c r="F45" i="4"/>
  <c r="O45" i="4" s="1"/>
  <c r="E45" i="4"/>
  <c r="D45" i="4"/>
  <c r="C45" i="4"/>
  <c r="B45" i="4"/>
  <c r="A45" i="4"/>
  <c r="G44" i="4"/>
  <c r="F44" i="4"/>
  <c r="O44" i="4" s="1"/>
  <c r="E44" i="4"/>
  <c r="D44" i="4"/>
  <c r="C44" i="4"/>
  <c r="B44" i="4"/>
  <c r="A44" i="4"/>
  <c r="G43" i="4"/>
  <c r="F43" i="4"/>
  <c r="O43" i="4" s="1"/>
  <c r="E43" i="4"/>
  <c r="D43" i="4"/>
  <c r="C43" i="4"/>
  <c r="B43" i="4"/>
  <c r="A43" i="4"/>
  <c r="G42" i="4"/>
  <c r="F42" i="4"/>
  <c r="O42" i="4" s="1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O40" i="4" s="1"/>
  <c r="E40" i="4"/>
  <c r="D40" i="4"/>
  <c r="C40" i="4"/>
  <c r="B40" i="4"/>
  <c r="A40" i="4"/>
  <c r="G39" i="4"/>
  <c r="F39" i="4"/>
  <c r="O39" i="4" s="1"/>
  <c r="E39" i="4"/>
  <c r="D39" i="4"/>
  <c r="C39" i="4"/>
  <c r="B39" i="4"/>
  <c r="A39" i="4"/>
  <c r="G38" i="4"/>
  <c r="F38" i="4"/>
  <c r="O38" i="4" s="1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O36" i="4" s="1"/>
  <c r="E36" i="4"/>
  <c r="D36" i="4"/>
  <c r="C36" i="4"/>
  <c r="B36" i="4"/>
  <c r="A36" i="4"/>
  <c r="G35" i="4"/>
  <c r="F35" i="4"/>
  <c r="O35" i="4" s="1"/>
  <c r="E35" i="4"/>
  <c r="D35" i="4"/>
  <c r="C35" i="4"/>
  <c r="B35" i="4"/>
  <c r="A35" i="4"/>
  <c r="G34" i="4"/>
  <c r="F34" i="4"/>
  <c r="O34" i="4" s="1"/>
  <c r="E34" i="4"/>
  <c r="D34" i="4"/>
  <c r="C34" i="4"/>
  <c r="B34" i="4"/>
  <c r="A34" i="4"/>
  <c r="G33" i="4"/>
  <c r="F33" i="4"/>
  <c r="O33" i="4" s="1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O31" i="4" s="1"/>
  <c r="E31" i="4"/>
  <c r="D31" i="4"/>
  <c r="C31" i="4"/>
  <c r="B31" i="4"/>
  <c r="A31" i="4"/>
  <c r="G30" i="4"/>
  <c r="F30" i="4"/>
  <c r="O30" i="4" s="1"/>
  <c r="E30" i="4"/>
  <c r="D30" i="4"/>
  <c r="C30" i="4"/>
  <c r="B30" i="4"/>
  <c r="A30" i="4"/>
  <c r="G29" i="4"/>
  <c r="F29" i="4"/>
  <c r="O29" i="4" s="1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O27" i="4" s="1"/>
  <c r="E27" i="4"/>
  <c r="D27" i="4"/>
  <c r="C27" i="4"/>
  <c r="B27" i="4"/>
  <c r="A27" i="4"/>
  <c r="G26" i="4"/>
  <c r="F26" i="4"/>
  <c r="O26" i="4" s="1"/>
  <c r="E26" i="4"/>
  <c r="D26" i="4"/>
  <c r="C26" i="4"/>
  <c r="B26" i="4"/>
  <c r="A26" i="4"/>
  <c r="G25" i="4"/>
  <c r="F25" i="4"/>
  <c r="O25" i="4" s="1"/>
  <c r="E25" i="4"/>
  <c r="D25" i="4"/>
  <c r="C25" i="4"/>
  <c r="B25" i="4"/>
  <c r="A25" i="4"/>
  <c r="G24" i="4"/>
  <c r="F24" i="4"/>
  <c r="O24" i="4" s="1"/>
  <c r="E24" i="4"/>
  <c r="D24" i="4"/>
  <c r="C24" i="4"/>
  <c r="B24" i="4"/>
  <c r="A24" i="4"/>
  <c r="G23" i="4"/>
  <c r="F23" i="4"/>
  <c r="O23" i="4" s="1"/>
  <c r="E23" i="4"/>
  <c r="D23" i="4"/>
  <c r="C23" i="4"/>
  <c r="B23" i="4"/>
  <c r="A23" i="4"/>
  <c r="G22" i="4"/>
  <c r="F22" i="4"/>
  <c r="O22" i="4" s="1"/>
  <c r="E22" i="4"/>
  <c r="D22" i="4"/>
  <c r="C22" i="4"/>
  <c r="B22" i="4"/>
  <c r="A22" i="4"/>
  <c r="G21" i="4"/>
  <c r="F21" i="4"/>
  <c r="O21" i="4" s="1"/>
  <c r="E21" i="4"/>
  <c r="D21" i="4"/>
  <c r="C21" i="4"/>
  <c r="B21" i="4"/>
  <c r="A21" i="4"/>
  <c r="G20" i="4"/>
  <c r="F20" i="4"/>
  <c r="O20" i="4" s="1"/>
  <c r="E20" i="4"/>
  <c r="D20" i="4"/>
  <c r="C20" i="4"/>
  <c r="B20" i="4"/>
  <c r="A20" i="4"/>
  <c r="G19" i="4"/>
  <c r="F19" i="4"/>
  <c r="O19" i="4" s="1"/>
  <c r="E19" i="4"/>
  <c r="D19" i="4"/>
  <c r="C19" i="4"/>
  <c r="B19" i="4"/>
  <c r="A19" i="4"/>
  <c r="G18" i="4"/>
  <c r="F18" i="4"/>
  <c r="O18" i="4" s="1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O16" i="4" s="1"/>
  <c r="E16" i="4"/>
  <c r="D16" i="4"/>
  <c r="C16" i="4"/>
  <c r="B16" i="4"/>
  <c r="A16" i="4"/>
  <c r="G15" i="4"/>
  <c r="F15" i="4"/>
  <c r="O15" i="4" s="1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O13" i="4" s="1"/>
  <c r="E13" i="4"/>
  <c r="D13" i="4"/>
  <c r="C13" i="4"/>
  <c r="B13" i="4"/>
  <c r="A13" i="4"/>
  <c r="G12" i="4"/>
  <c r="F12" i="4"/>
  <c r="O12" i="4" s="1"/>
  <c r="E12" i="4"/>
  <c r="D12" i="4"/>
  <c r="C12" i="4"/>
  <c r="B12" i="4"/>
  <c r="A12" i="4"/>
  <c r="G11" i="4"/>
  <c r="F11" i="4"/>
  <c r="O11" i="4" s="1"/>
  <c r="E11" i="4"/>
  <c r="D11" i="4"/>
  <c r="C11" i="4"/>
  <c r="B11" i="4"/>
  <c r="A11" i="4"/>
  <c r="G10" i="4"/>
  <c r="F10" i="4"/>
  <c r="O10" i="4" s="1"/>
  <c r="E10" i="4"/>
  <c r="D10" i="4"/>
  <c r="C10" i="4"/>
  <c r="B10" i="4"/>
  <c r="A10" i="4"/>
  <c r="A8" i="3" s="1"/>
  <c r="G9" i="4"/>
  <c r="F9" i="4"/>
  <c r="O9" i="4" s="1"/>
  <c r="E9" i="4"/>
  <c r="D9" i="4"/>
  <c r="C9" i="4"/>
  <c r="B9" i="4"/>
  <c r="A9" i="4"/>
  <c r="A7" i="3" s="1"/>
  <c r="G8" i="4"/>
  <c r="F8" i="4"/>
  <c r="O8" i="4" s="1"/>
  <c r="E8" i="4"/>
  <c r="D8" i="4"/>
  <c r="C8" i="4"/>
  <c r="B8" i="4"/>
  <c r="A8" i="4"/>
  <c r="A6" i="3" s="1"/>
  <c r="G7" i="4"/>
  <c r="F7" i="4"/>
  <c r="O7" i="4" s="1"/>
  <c r="E7" i="4"/>
  <c r="D7" i="4"/>
  <c r="C7" i="4"/>
  <c r="B7" i="4"/>
  <c r="A7" i="4"/>
  <c r="A5" i="3" s="1"/>
  <c r="G6" i="4"/>
  <c r="F6" i="4"/>
  <c r="E6" i="4"/>
  <c r="D6" i="4"/>
  <c r="C6" i="4"/>
  <c r="B6" i="4"/>
  <c r="A6" i="4"/>
  <c r="P40" i="4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3" i="2"/>
  <c r="K67" i="2"/>
  <c r="J66" i="2"/>
  <c r="K65" i="2"/>
  <c r="K64" i="2"/>
  <c r="J63" i="2"/>
  <c r="K62" i="2"/>
  <c r="K61" i="2"/>
  <c r="K60" i="2"/>
  <c r="K59" i="2"/>
  <c r="J58" i="2"/>
  <c r="K57" i="2"/>
  <c r="K56" i="2"/>
  <c r="J55" i="2"/>
  <c r="K54" i="2"/>
  <c r="K53" i="2"/>
  <c r="K52" i="2"/>
  <c r="J51" i="2"/>
  <c r="K50" i="2"/>
  <c r="K49" i="2"/>
  <c r="K48" i="2"/>
  <c r="K47" i="2"/>
  <c r="J46" i="2"/>
  <c r="K45" i="2"/>
  <c r="K44" i="2"/>
  <c r="K43" i="2"/>
  <c r="J42" i="2"/>
  <c r="K41" i="2"/>
  <c r="K40" i="2"/>
  <c r="K39" i="2"/>
  <c r="K38" i="2"/>
  <c r="K37" i="2"/>
  <c r="K36" i="2"/>
  <c r="K35" i="2"/>
  <c r="K34" i="2"/>
  <c r="K33" i="2"/>
  <c r="K32" i="2"/>
  <c r="K31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B7" i="3" l="1"/>
  <c r="O28" i="4"/>
  <c r="O58" i="4"/>
  <c r="O6" i="4"/>
  <c r="O17" i="4"/>
  <c r="O41" i="4"/>
  <c r="O53" i="4"/>
  <c r="O65" i="4"/>
  <c r="O66" i="4"/>
  <c r="O37" i="4"/>
  <c r="O49" i="4"/>
  <c r="O14" i="4"/>
  <c r="O32" i="4"/>
  <c r="O62" i="4"/>
  <c r="O57" i="4"/>
  <c r="O69" i="4"/>
  <c r="B6" i="3"/>
  <c r="B8" i="3"/>
  <c r="B5" i="3"/>
  <c r="J11" i="11"/>
  <c r="J12" i="11"/>
  <c r="J13" i="11"/>
  <c r="J14" i="11"/>
  <c r="H12" i="4"/>
  <c r="V12" i="11"/>
  <c r="W12" i="11" s="1"/>
  <c r="Q12" i="11"/>
  <c r="P12" i="11"/>
  <c r="R12" i="11" s="1"/>
  <c r="S12" i="11" s="1"/>
  <c r="AJ12" i="11"/>
  <c r="H63" i="4"/>
  <c r="H55" i="4"/>
  <c r="H47" i="4"/>
  <c r="H39" i="4"/>
  <c r="AJ11" i="11"/>
  <c r="AK11" i="11" s="1"/>
  <c r="AL11" i="11" s="1"/>
  <c r="V11" i="11"/>
  <c r="W11" i="11" s="1"/>
  <c r="P11" i="11"/>
  <c r="R11" i="11" s="1"/>
  <c r="Q11" i="11"/>
  <c r="H30" i="4"/>
  <c r="H22" i="4"/>
  <c r="V14" i="11"/>
  <c r="W14" i="11" s="1"/>
  <c r="P14" i="11"/>
  <c r="R14" i="11" s="1"/>
  <c r="Q14" i="11"/>
  <c r="AJ14" i="11"/>
  <c r="AK14" i="11" s="1"/>
  <c r="AL14" i="11" s="1"/>
  <c r="M11" i="4"/>
  <c r="V13" i="11"/>
  <c r="W13" i="11" s="1"/>
  <c r="AJ13" i="11"/>
  <c r="Q13" i="11"/>
  <c r="P13" i="11"/>
  <c r="R13" i="11" s="1"/>
  <c r="M70" i="4"/>
  <c r="M66" i="4"/>
  <c r="M62" i="4"/>
  <c r="M58" i="4"/>
  <c r="M54" i="4"/>
  <c r="M50" i="4"/>
  <c r="M46" i="4"/>
  <c r="M42" i="4"/>
  <c r="M38" i="4"/>
  <c r="M34" i="4"/>
  <c r="M18" i="4"/>
  <c r="M10" i="4"/>
  <c r="P23" i="4"/>
  <c r="P27" i="4"/>
  <c r="P31" i="4"/>
  <c r="P35" i="4"/>
  <c r="P9" i="4"/>
  <c r="P38" i="4"/>
  <c r="P42" i="4"/>
  <c r="P46" i="4"/>
  <c r="P54" i="4"/>
  <c r="P70" i="4"/>
  <c r="J65" i="2"/>
  <c r="I68" i="4" s="1"/>
  <c r="J61" i="2"/>
  <c r="J57" i="2"/>
  <c r="J53" i="2"/>
  <c r="I56" i="4" s="1"/>
  <c r="J49" i="2"/>
  <c r="J45" i="2"/>
  <c r="J41" i="2"/>
  <c r="J37" i="2"/>
  <c r="J33" i="2"/>
  <c r="I36" i="4" s="1"/>
  <c r="J28" i="2"/>
  <c r="J24" i="2"/>
  <c r="J20" i="2"/>
  <c r="J16" i="2"/>
  <c r="J12" i="2"/>
  <c r="I15" i="4" s="1"/>
  <c r="J8" i="2"/>
  <c r="J4" i="2"/>
  <c r="K42" i="2"/>
  <c r="K46" i="2"/>
  <c r="J49" i="4" s="1"/>
  <c r="K55" i="2"/>
  <c r="J3" i="2"/>
  <c r="J64" i="2"/>
  <c r="I67" i="4" s="1"/>
  <c r="J60" i="2"/>
  <c r="J56" i="2"/>
  <c r="J52" i="2"/>
  <c r="J48" i="2"/>
  <c r="J44" i="2"/>
  <c r="J40" i="2"/>
  <c r="I43" i="4" s="1"/>
  <c r="J36" i="2"/>
  <c r="I39" i="4" s="1"/>
  <c r="J32" i="2"/>
  <c r="J27" i="2"/>
  <c r="J23" i="2"/>
  <c r="J19" i="2"/>
  <c r="J15" i="2"/>
  <c r="J11" i="2"/>
  <c r="J7" i="2"/>
  <c r="K51" i="2"/>
  <c r="J54" i="4" s="1"/>
  <c r="K63" i="2"/>
  <c r="J67" i="2"/>
  <c r="J59" i="2"/>
  <c r="J47" i="2"/>
  <c r="I50" i="4" s="1"/>
  <c r="J43" i="2"/>
  <c r="J39" i="2"/>
  <c r="J35" i="2"/>
  <c r="J31" i="2"/>
  <c r="J26" i="2"/>
  <c r="I29" i="4" s="1"/>
  <c r="J22" i="2"/>
  <c r="J18" i="2"/>
  <c r="J14" i="2"/>
  <c r="J10" i="2"/>
  <c r="J6" i="2"/>
  <c r="K58" i="2"/>
  <c r="K66" i="2"/>
  <c r="J69" i="4" s="1"/>
  <c r="J62" i="2"/>
  <c r="J54" i="2"/>
  <c r="J50" i="2"/>
  <c r="J38" i="2"/>
  <c r="I41" i="4" s="1"/>
  <c r="J34" i="2"/>
  <c r="I37" i="4" s="1"/>
  <c r="J29" i="2"/>
  <c r="J25" i="2"/>
  <c r="J21" i="2"/>
  <c r="J17" i="2"/>
  <c r="J13" i="2"/>
  <c r="J9" i="2"/>
  <c r="J5" i="2"/>
  <c r="I8" i="4" s="1"/>
  <c r="P11" i="4"/>
  <c r="P64" i="4"/>
  <c r="P7" i="4"/>
  <c r="P55" i="4"/>
  <c r="P15" i="4"/>
  <c r="P39" i="4"/>
  <c r="P47" i="4"/>
  <c r="P18" i="4"/>
  <c r="P25" i="4"/>
  <c r="P33" i="4"/>
  <c r="P56" i="4"/>
  <c r="P43" i="4"/>
  <c r="P51" i="4"/>
  <c r="T7" i="3"/>
  <c r="P29" i="4"/>
  <c r="P60" i="4"/>
  <c r="P63" i="4"/>
  <c r="P59" i="4"/>
  <c r="P10" i="4"/>
  <c r="P67" i="4"/>
  <c r="T8" i="3"/>
  <c r="P24" i="4"/>
  <c r="H56" i="4"/>
  <c r="H36" i="4"/>
  <c r="H24" i="4"/>
  <c r="M69" i="4"/>
  <c r="M65" i="4"/>
  <c r="M61" i="4"/>
  <c r="M57" i="4"/>
  <c r="M53" i="4"/>
  <c r="M49" i="4"/>
  <c r="M45" i="4"/>
  <c r="M41" i="4"/>
  <c r="M37" i="4"/>
  <c r="M33" i="4"/>
  <c r="M9" i="4"/>
  <c r="P17" i="4"/>
  <c r="P28" i="4"/>
  <c r="H60" i="4"/>
  <c r="H40" i="4"/>
  <c r="H20" i="4"/>
  <c r="H6" i="4"/>
  <c r="H31" i="4"/>
  <c r="H27" i="4"/>
  <c r="H23" i="4"/>
  <c r="H15" i="4"/>
  <c r="H11" i="4"/>
  <c r="H7" i="4"/>
  <c r="M68" i="4"/>
  <c r="M64" i="4"/>
  <c r="M60" i="4"/>
  <c r="M56" i="4"/>
  <c r="M52" i="4"/>
  <c r="M48" i="4"/>
  <c r="M44" i="4"/>
  <c r="M40" i="4"/>
  <c r="M36" i="4"/>
  <c r="M32" i="4"/>
  <c r="M28" i="4"/>
  <c r="M24" i="4"/>
  <c r="M20" i="4"/>
  <c r="M16" i="4"/>
  <c r="M12" i="4"/>
  <c r="M8" i="4"/>
  <c r="P6" i="4"/>
  <c r="P14" i="4"/>
  <c r="H19" i="4"/>
  <c r="M21" i="4"/>
  <c r="M29" i="4"/>
  <c r="P41" i="4"/>
  <c r="P49" i="4"/>
  <c r="P57" i="4"/>
  <c r="P65" i="4"/>
  <c r="T6" i="3"/>
  <c r="H64" i="4"/>
  <c r="H48" i="4"/>
  <c r="H32" i="4"/>
  <c r="M17" i="4"/>
  <c r="H70" i="4"/>
  <c r="H66" i="4"/>
  <c r="H62" i="4"/>
  <c r="H58" i="4"/>
  <c r="H54" i="4"/>
  <c r="H50" i="4"/>
  <c r="H46" i="4"/>
  <c r="H42" i="4"/>
  <c r="H38" i="4"/>
  <c r="H34" i="4"/>
  <c r="H18" i="4"/>
  <c r="H14" i="4"/>
  <c r="H10" i="4"/>
  <c r="M6" i="4"/>
  <c r="M67" i="4"/>
  <c r="M63" i="4"/>
  <c r="M59" i="4"/>
  <c r="M55" i="4"/>
  <c r="M51" i="4"/>
  <c r="M47" i="4"/>
  <c r="M43" i="4"/>
  <c r="M39" i="4"/>
  <c r="M35" i="4"/>
  <c r="M31" i="4"/>
  <c r="M27" i="4"/>
  <c r="M23" i="4"/>
  <c r="M19" i="4"/>
  <c r="M7" i="4"/>
  <c r="H8" i="4"/>
  <c r="M15" i="4"/>
  <c r="P32" i="4"/>
  <c r="H35" i="4"/>
  <c r="H43" i="4"/>
  <c r="H51" i="4"/>
  <c r="H59" i="4"/>
  <c r="H67" i="4"/>
  <c r="U8" i="3"/>
  <c r="H68" i="4"/>
  <c r="H52" i="4"/>
  <c r="H44" i="4"/>
  <c r="H28" i="4"/>
  <c r="H16" i="4"/>
  <c r="M13" i="4"/>
  <c r="H69" i="4"/>
  <c r="H65" i="4"/>
  <c r="H61" i="4"/>
  <c r="H57" i="4"/>
  <c r="H53" i="4"/>
  <c r="H49" i="4"/>
  <c r="H45" i="4"/>
  <c r="H41" i="4"/>
  <c r="H37" i="4"/>
  <c r="H33" i="4"/>
  <c r="H29" i="4"/>
  <c r="H25" i="4"/>
  <c r="H21" i="4"/>
  <c r="H17" i="4"/>
  <c r="H13" i="4"/>
  <c r="H9" i="4"/>
  <c r="M30" i="4"/>
  <c r="M26" i="4"/>
  <c r="M22" i="4"/>
  <c r="M14" i="4"/>
  <c r="M25" i="4"/>
  <c r="H26" i="4"/>
  <c r="P53" i="4"/>
  <c r="P69" i="4"/>
  <c r="T5" i="3"/>
  <c r="P48" i="4"/>
  <c r="P44" i="4"/>
  <c r="P13" i="4"/>
  <c r="P16" i="4"/>
  <c r="P20" i="4"/>
  <c r="P36" i="4"/>
  <c r="P52" i="4"/>
  <c r="P68" i="4"/>
  <c r="P62" i="4"/>
  <c r="P66" i="4"/>
  <c r="P21" i="4"/>
  <c r="P50" i="4"/>
  <c r="P58" i="4"/>
  <c r="J67" i="4"/>
  <c r="J55" i="4"/>
  <c r="J43" i="4"/>
  <c r="J39" i="4"/>
  <c r="J65" i="4"/>
  <c r="J57" i="4"/>
  <c r="J53" i="4"/>
  <c r="J45" i="4"/>
  <c r="J41" i="4"/>
  <c r="J37" i="4"/>
  <c r="J34" i="4"/>
  <c r="J29" i="4"/>
  <c r="J25" i="4"/>
  <c r="J21" i="4"/>
  <c r="J18" i="4"/>
  <c r="J15" i="4"/>
  <c r="I69" i="4"/>
  <c r="I65" i="4"/>
  <c r="I61" i="4"/>
  <c r="I49" i="4"/>
  <c r="I45" i="4"/>
  <c r="I18" i="4"/>
  <c r="I7" i="4"/>
  <c r="J59" i="4"/>
  <c r="J47" i="4"/>
  <c r="I23" i="4"/>
  <c r="I13" i="4"/>
  <c r="J64" i="4"/>
  <c r="J56" i="4"/>
  <c r="J52" i="4"/>
  <c r="J48" i="4"/>
  <c r="J44" i="4"/>
  <c r="J40" i="4"/>
  <c r="J36" i="4"/>
  <c r="J32" i="4"/>
  <c r="J28" i="4"/>
  <c r="J24" i="4"/>
  <c r="J17" i="4"/>
  <c r="J14" i="4"/>
  <c r="J10" i="4"/>
  <c r="I52" i="4"/>
  <c r="I17" i="4"/>
  <c r="J63" i="4"/>
  <c r="J51" i="4"/>
  <c r="I55" i="4"/>
  <c r="J70" i="4"/>
  <c r="J66" i="4"/>
  <c r="J62" i="4"/>
  <c r="J50" i="4"/>
  <c r="J46" i="4"/>
  <c r="J42" i="4"/>
  <c r="J38" i="4"/>
  <c r="J35" i="4"/>
  <c r="J30" i="4"/>
  <c r="J26" i="4"/>
  <c r="J22" i="4"/>
  <c r="J19" i="4"/>
  <c r="J12" i="4"/>
  <c r="J8" i="4"/>
  <c r="I66" i="4"/>
  <c r="I58" i="4"/>
  <c r="I54" i="4"/>
  <c r="I46" i="4"/>
  <c r="I35" i="4"/>
  <c r="J68" i="4"/>
  <c r="J60" i="4"/>
  <c r="J30" i="2"/>
  <c r="J6" i="4"/>
  <c r="J7" i="4"/>
  <c r="J11" i="4"/>
  <c r="J31" i="4"/>
  <c r="J27" i="4"/>
  <c r="J23" i="4"/>
  <c r="J20" i="4"/>
  <c r="J16" i="4"/>
  <c r="J13" i="4"/>
  <c r="J9" i="4"/>
  <c r="P8" i="4"/>
  <c r="P12" i="4"/>
  <c r="P19" i="4"/>
  <c r="P22" i="4"/>
  <c r="P26" i="4"/>
  <c r="P30" i="4"/>
  <c r="P34" i="4"/>
  <c r="P37" i="4"/>
  <c r="P45" i="4"/>
  <c r="P61" i="4"/>
  <c r="S11" i="11" l="1"/>
  <c r="AF11" i="11" s="1"/>
  <c r="AG11" i="11" s="1"/>
  <c r="AH11" i="11" s="1"/>
  <c r="S13" i="11"/>
  <c r="AB13" i="11" s="1"/>
  <c r="AC13" i="11" s="1"/>
  <c r="AD13" i="11" s="1"/>
  <c r="S14" i="11"/>
  <c r="AB14" i="11" s="1"/>
  <c r="AC14" i="11" s="1"/>
  <c r="AD14" i="11" s="1"/>
  <c r="I40" i="4"/>
  <c r="I19" i="4"/>
  <c r="I20" i="4"/>
  <c r="I51" i="4"/>
  <c r="I34" i="4"/>
  <c r="I6" i="4"/>
  <c r="I22" i="4"/>
  <c r="U6" i="3"/>
  <c r="J7" i="3"/>
  <c r="L7" i="3" s="1"/>
  <c r="U5" i="3"/>
  <c r="U7" i="3"/>
  <c r="J8" i="3"/>
  <c r="L8" i="3" s="1"/>
  <c r="J5" i="3"/>
  <c r="L5" i="3" s="1"/>
  <c r="J6" i="3"/>
  <c r="L6" i="3" s="1"/>
  <c r="I31" i="4"/>
  <c r="I12" i="4"/>
  <c r="I62" i="4"/>
  <c r="I10" i="4"/>
  <c r="I24" i="4"/>
  <c r="I44" i="4"/>
  <c r="I53" i="4"/>
  <c r="I59" i="4"/>
  <c r="K16" i="6"/>
  <c r="M16" i="6" s="1"/>
  <c r="N16" i="6" s="1"/>
  <c r="Q16" i="6"/>
  <c r="R16" i="6" s="1"/>
  <c r="AK13" i="11"/>
  <c r="AL13" i="11" s="1"/>
  <c r="AM11" i="11"/>
  <c r="AN11" i="11" s="1"/>
  <c r="AB11" i="11"/>
  <c r="AC11" i="11" s="1"/>
  <c r="AD11" i="11" s="1"/>
  <c r="AM12" i="11"/>
  <c r="AB12" i="11"/>
  <c r="AC12" i="11" s="1"/>
  <c r="AD12" i="11" s="1"/>
  <c r="AF12" i="11"/>
  <c r="AG12" i="11" s="1"/>
  <c r="AH12" i="11" s="1"/>
  <c r="J58" i="4"/>
  <c r="I27" i="4"/>
  <c r="K15" i="6"/>
  <c r="M15" i="6" s="1"/>
  <c r="Q15" i="6"/>
  <c r="R15" i="6" s="1"/>
  <c r="I26" i="4"/>
  <c r="I38" i="4"/>
  <c r="I28" i="4"/>
  <c r="I60" i="4"/>
  <c r="I11" i="4"/>
  <c r="I21" i="4"/>
  <c r="J61" i="4"/>
  <c r="K17" i="6"/>
  <c r="M17" i="6" s="1"/>
  <c r="Q17" i="6"/>
  <c r="R17" i="6" s="1"/>
  <c r="K14" i="6"/>
  <c r="M14" i="6" s="1"/>
  <c r="N14" i="6" s="1"/>
  <c r="Q14" i="6"/>
  <c r="R14" i="6" s="1"/>
  <c r="AK12" i="11"/>
  <c r="AL12" i="11" s="1"/>
  <c r="I30" i="4"/>
  <c r="I42" i="4"/>
  <c r="I16" i="4"/>
  <c r="I47" i="4"/>
  <c r="I13" i="11"/>
  <c r="I14" i="4"/>
  <c r="I32" i="4"/>
  <c r="I48" i="4"/>
  <c r="I64" i="4"/>
  <c r="I63" i="4"/>
  <c r="I25" i="4"/>
  <c r="I57" i="4"/>
  <c r="I9" i="4"/>
  <c r="I12" i="11"/>
  <c r="I11" i="11"/>
  <c r="I70" i="4"/>
  <c r="I14" i="11"/>
  <c r="L3" i="2"/>
  <c r="L5" i="2"/>
  <c r="L4" i="2"/>
  <c r="AF14" i="6"/>
  <c r="AG14" i="6" s="1"/>
  <c r="AH14" i="6" s="1"/>
  <c r="U5" i="9" s="1"/>
  <c r="L14" i="6"/>
  <c r="L15" i="6"/>
  <c r="AF15" i="6"/>
  <c r="AG15" i="6" s="1"/>
  <c r="AH15" i="6" s="1"/>
  <c r="U6" i="9" s="1"/>
  <c r="AF17" i="6"/>
  <c r="AG17" i="6" s="1"/>
  <c r="AH17" i="6" s="1"/>
  <c r="U8" i="9" s="1"/>
  <c r="L17" i="6"/>
  <c r="L16" i="6"/>
  <c r="AF16" i="6"/>
  <c r="AG16" i="6" s="1"/>
  <c r="AH16" i="6" s="1"/>
  <c r="U7" i="9" s="1"/>
  <c r="I33" i="4"/>
  <c r="K30" i="2"/>
  <c r="N15" i="6" l="1"/>
  <c r="AB15" i="6" s="1"/>
  <c r="N17" i="6"/>
  <c r="W17" i="6" s="1"/>
  <c r="AM13" i="11"/>
  <c r="AN13" i="11" s="1"/>
  <c r="AF13" i="11"/>
  <c r="AG13" i="11" s="1"/>
  <c r="AH13" i="11" s="1"/>
  <c r="AM14" i="11"/>
  <c r="AN14" i="11" s="1"/>
  <c r="AF14" i="11"/>
  <c r="AG14" i="11" s="1"/>
  <c r="AH14" i="11" s="1"/>
  <c r="P8" i="9"/>
  <c r="Y8" i="3"/>
  <c r="Y6" i="3"/>
  <c r="P6" i="9"/>
  <c r="P7" i="9"/>
  <c r="Y7" i="3"/>
  <c r="Y5" i="3"/>
  <c r="P5" i="9"/>
  <c r="V7" i="3"/>
  <c r="K12" i="11"/>
  <c r="AN12" i="11"/>
  <c r="K11" i="11"/>
  <c r="L7" i="2"/>
  <c r="K8" i="4"/>
  <c r="M5" i="2"/>
  <c r="K7" i="4"/>
  <c r="M4" i="2"/>
  <c r="M3" i="2"/>
  <c r="K6" i="4"/>
  <c r="V5" i="3"/>
  <c r="AI14" i="6"/>
  <c r="W14" i="6"/>
  <c r="AB14" i="6"/>
  <c r="AB16" i="6"/>
  <c r="AI16" i="6"/>
  <c r="W16" i="6"/>
  <c r="V6" i="3"/>
  <c r="V8" i="3"/>
  <c r="J33" i="4"/>
  <c r="L6" i="2"/>
  <c r="AB17" i="6" l="1"/>
  <c r="AI17" i="6"/>
  <c r="AI15" i="6"/>
  <c r="V6" i="9" s="1"/>
  <c r="W6" i="9" s="1"/>
  <c r="W15" i="6"/>
  <c r="X15" i="6" s="1"/>
  <c r="Y15" i="6" s="1"/>
  <c r="O8" i="9"/>
  <c r="K13" i="11"/>
  <c r="L11" i="11"/>
  <c r="L12" i="11"/>
  <c r="K14" i="11"/>
  <c r="W5" i="3"/>
  <c r="L7" i="4"/>
  <c r="L6" i="4"/>
  <c r="L8" i="4"/>
  <c r="K9" i="4"/>
  <c r="M6" i="2"/>
  <c r="K10" i="4"/>
  <c r="M7" i="2"/>
  <c r="AC14" i="6"/>
  <c r="AC15" i="6"/>
  <c r="AC17" i="6"/>
  <c r="X16" i="6"/>
  <c r="Y16" i="6" s="1"/>
  <c r="X14" i="6"/>
  <c r="Y14" i="6" s="1"/>
  <c r="V8" i="9"/>
  <c r="W8" i="9" s="1"/>
  <c r="AJ17" i="6"/>
  <c r="V7" i="9"/>
  <c r="W7" i="9" s="1"/>
  <c r="AJ16" i="6"/>
  <c r="V5" i="9"/>
  <c r="W5" i="9" s="1"/>
  <c r="AJ14" i="6"/>
  <c r="O6" i="9"/>
  <c r="X17" i="6"/>
  <c r="Y17" i="6" s="1"/>
  <c r="AC16" i="6"/>
  <c r="AJ15" i="6" l="1"/>
  <c r="W7" i="3"/>
  <c r="L14" i="11"/>
  <c r="L13" i="11"/>
  <c r="M5" i="3"/>
  <c r="Z5" i="3" s="1"/>
  <c r="O5" i="9"/>
  <c r="M8" i="3"/>
  <c r="Z8" i="3" s="1"/>
  <c r="L9" i="4"/>
  <c r="L10" i="4"/>
  <c r="W8" i="3"/>
  <c r="W6" i="3"/>
  <c r="M6" i="3"/>
  <c r="Z6" i="3" s="1"/>
  <c r="AD16" i="6"/>
  <c r="S7" i="9"/>
  <c r="T7" i="9" s="1"/>
  <c r="Q8" i="9"/>
  <c r="R8" i="9" s="1"/>
  <c r="Z17" i="6"/>
  <c r="S8" i="9"/>
  <c r="T8" i="9" s="1"/>
  <c r="AD17" i="6"/>
  <c r="S5" i="9"/>
  <c r="T5" i="9" s="1"/>
  <c r="AD14" i="6"/>
  <c r="Q6" i="9"/>
  <c r="R6" i="9" s="1"/>
  <c r="Z15" i="6"/>
  <c r="Z14" i="6"/>
  <c r="Q5" i="9"/>
  <c r="R5" i="9" s="1"/>
  <c r="Q7" i="9"/>
  <c r="R7" i="9" s="1"/>
  <c r="Z16" i="6"/>
  <c r="M7" i="3"/>
  <c r="Z7" i="3" s="1"/>
  <c r="O7" i="9"/>
  <c r="AD15" i="6"/>
  <c r="S6" i="9"/>
  <c r="T6" i="9" s="1"/>
  <c r="L8" i="2" l="1"/>
  <c r="L9" i="2" l="1"/>
  <c r="M8" i="2"/>
  <c r="K11" i="4"/>
  <c r="K12" i="4" l="1"/>
  <c r="M9" i="2"/>
  <c r="L12" i="2"/>
  <c r="L10" i="2"/>
  <c r="L11" i="4"/>
  <c r="L11" i="2"/>
  <c r="K15" i="4" l="1"/>
  <c r="M12" i="2"/>
  <c r="L12" i="4"/>
  <c r="K14" i="4"/>
  <c r="M11" i="2"/>
  <c r="M10" i="2"/>
  <c r="K13" i="4"/>
  <c r="L13" i="2" l="1"/>
  <c r="L15" i="4"/>
  <c r="L14" i="4"/>
  <c r="L13" i="4"/>
  <c r="L14" i="2" l="1"/>
  <c r="K16" i="4"/>
  <c r="M13" i="2"/>
  <c r="L16" i="4" l="1"/>
  <c r="K17" i="4"/>
  <c r="M14" i="2"/>
  <c r="L15" i="2"/>
  <c r="L16" i="2" l="1"/>
  <c r="L17" i="4"/>
  <c r="M15" i="2"/>
  <c r="K18" i="4"/>
  <c r="L17" i="2" l="1"/>
  <c r="L18" i="4"/>
  <c r="L18" i="2"/>
  <c r="K19" i="4"/>
  <c r="M16" i="2"/>
  <c r="L19" i="4" l="1"/>
  <c r="M17" i="2"/>
  <c r="K20" i="4"/>
  <c r="K21" i="4"/>
  <c r="M18" i="2"/>
  <c r="L20" i="2" l="1"/>
  <c r="L20" i="4"/>
  <c r="L21" i="4"/>
  <c r="L19" i="2"/>
  <c r="L23" i="2" l="1"/>
  <c r="L21" i="2"/>
  <c r="M21" i="2" s="1"/>
  <c r="M19" i="2"/>
  <c r="K22" i="4"/>
  <c r="K23" i="4"/>
  <c r="M20" i="2"/>
  <c r="K24" i="4"/>
  <c r="L22" i="2"/>
  <c r="M23" i="2"/>
  <c r="K26" i="4"/>
  <c r="L24" i="2"/>
  <c r="K25" i="4" l="1"/>
  <c r="M22" i="2"/>
  <c r="L24" i="4"/>
  <c r="L22" i="4"/>
  <c r="M24" i="2"/>
  <c r="K27" i="4"/>
  <c r="L26" i="4"/>
  <c r="L23" i="4"/>
  <c r="L27" i="4" l="1"/>
  <c r="L25" i="4"/>
  <c r="L25" i="2" l="1"/>
  <c r="L26" i="2" l="1"/>
  <c r="K28" i="4"/>
  <c r="M25" i="2"/>
  <c r="L28" i="4" l="1"/>
  <c r="L27" i="2"/>
  <c r="K29" i="4"/>
  <c r="M26" i="2"/>
  <c r="L29" i="4" l="1"/>
  <c r="M27" i="2"/>
  <c r="K30" i="4"/>
  <c r="L28" i="2"/>
  <c r="K31" i="4" l="1"/>
  <c r="M28" i="2"/>
  <c r="L30" i="4"/>
  <c r="L29" i="2"/>
  <c r="K32" i="4" l="1"/>
  <c r="M29" i="2"/>
  <c r="L31" i="4"/>
  <c r="L30" i="2"/>
  <c r="K33" i="4" l="1"/>
  <c r="M30" i="2"/>
  <c r="L32" i="4"/>
  <c r="L31" i="2"/>
  <c r="L32" i="2" l="1"/>
  <c r="L33" i="4"/>
  <c r="K34" i="4"/>
  <c r="M31" i="2"/>
  <c r="L34" i="4" l="1"/>
  <c r="K35" i="4"/>
  <c r="M32" i="2"/>
  <c r="L35" i="2" l="1"/>
  <c r="L35" i="4"/>
  <c r="L33" i="2"/>
  <c r="K36" i="4" l="1"/>
  <c r="M33" i="2"/>
  <c r="K38" i="4"/>
  <c r="M35" i="2"/>
  <c r="L34" i="2"/>
  <c r="L38" i="4" l="1"/>
  <c r="M34" i="2"/>
  <c r="K37" i="4"/>
  <c r="L36" i="4"/>
  <c r="L36" i="2" l="1"/>
  <c r="L37" i="4"/>
  <c r="L39" i="2" l="1"/>
  <c r="L37" i="2"/>
  <c r="K39" i="4"/>
  <c r="M36" i="2"/>
  <c r="K42" i="4"/>
  <c r="M39" i="2"/>
  <c r="L40" i="2"/>
  <c r="M37" i="2" l="1"/>
  <c r="K40" i="4"/>
  <c r="L39" i="4"/>
  <c r="L38" i="2"/>
  <c r="L42" i="4"/>
  <c r="M40" i="2"/>
  <c r="K43" i="4"/>
  <c r="L41" i="2"/>
  <c r="K41" i="4" l="1"/>
  <c r="M38" i="2"/>
  <c r="L40" i="4"/>
  <c r="M41" i="2"/>
  <c r="K44" i="4"/>
  <c r="L43" i="4"/>
  <c r="L42" i="2"/>
  <c r="L41" i="4" l="1"/>
  <c r="K45" i="4"/>
  <c r="M42" i="2"/>
  <c r="L44" i="4"/>
  <c r="L43" i="2"/>
  <c r="L45" i="4" l="1"/>
  <c r="K46" i="4"/>
  <c r="M43" i="2"/>
  <c r="L44" i="2"/>
  <c r="K47" i="4" l="1"/>
  <c r="M44" i="2"/>
  <c r="L46" i="4"/>
  <c r="L45" i="2"/>
  <c r="K48" i="4" l="1"/>
  <c r="M45" i="2"/>
  <c r="L47" i="4"/>
  <c r="L46" i="2"/>
  <c r="L48" i="4" l="1"/>
  <c r="K49" i="4"/>
  <c r="M46" i="2"/>
  <c r="L47" i="2"/>
  <c r="K50" i="4" l="1"/>
  <c r="M47" i="2"/>
  <c r="L49" i="4"/>
  <c r="L48" i="2"/>
  <c r="L50" i="4" l="1"/>
  <c r="K51" i="4"/>
  <c r="M48" i="2"/>
  <c r="L49" i="2"/>
  <c r="K52" i="4" l="1"/>
  <c r="M49" i="2"/>
  <c r="L51" i="4"/>
  <c r="L50" i="2"/>
  <c r="L52" i="4" l="1"/>
  <c r="M50" i="2"/>
  <c r="K53" i="4"/>
  <c r="L51" i="2"/>
  <c r="K54" i="4" l="1"/>
  <c r="M51" i="2"/>
  <c r="L53" i="4"/>
  <c r="L52" i="2"/>
  <c r="K55" i="4" l="1"/>
  <c r="M52" i="2"/>
  <c r="L54" i="4"/>
  <c r="L53" i="2"/>
  <c r="M53" i="2" l="1"/>
  <c r="K56" i="4"/>
  <c r="L55" i="4"/>
  <c r="L54" i="2"/>
  <c r="M54" i="2" l="1"/>
  <c r="K57" i="4"/>
  <c r="L56" i="4"/>
  <c r="L55" i="2"/>
  <c r="L57" i="4" l="1"/>
  <c r="K58" i="4"/>
  <c r="M55" i="2"/>
  <c r="L56" i="2"/>
  <c r="M56" i="2" l="1"/>
  <c r="K59" i="4"/>
  <c r="L58" i="4"/>
  <c r="L57" i="2"/>
  <c r="M57" i="2" l="1"/>
  <c r="K60" i="4"/>
  <c r="L59" i="4"/>
  <c r="L58" i="2"/>
  <c r="M58" i="2" l="1"/>
  <c r="K61" i="4"/>
  <c r="L60" i="4"/>
  <c r="L59" i="2"/>
  <c r="K62" i="4" l="1"/>
  <c r="M59" i="2"/>
  <c r="L61" i="4"/>
  <c r="L60" i="2"/>
  <c r="K63" i="4" l="1"/>
  <c r="M60" i="2"/>
  <c r="L62" i="4"/>
  <c r="L61" i="2"/>
  <c r="M61" i="2" l="1"/>
  <c r="K64" i="4"/>
  <c r="L63" i="4"/>
  <c r="L62" i="2"/>
  <c r="M62" i="2" l="1"/>
  <c r="K65" i="4"/>
  <c r="L64" i="4"/>
  <c r="L63" i="2"/>
  <c r="K66" i="4" l="1"/>
  <c r="M63" i="2"/>
  <c r="L65" i="4"/>
  <c r="L64" i="2"/>
  <c r="K67" i="4" l="1"/>
  <c r="M64" i="2"/>
  <c r="L66" i="4"/>
  <c r="L65" i="2"/>
  <c r="M65" i="2" l="1"/>
  <c r="K68" i="4"/>
  <c r="L67" i="4"/>
  <c r="L66" i="2"/>
  <c r="L67" i="2"/>
  <c r="K69" i="4" l="1"/>
  <c r="M66" i="2"/>
  <c r="L68" i="4"/>
  <c r="K70" i="4"/>
  <c r="M67" i="2"/>
  <c r="L69" i="4" l="1"/>
  <c r="L70" i="4"/>
</calcChain>
</file>

<file path=xl/sharedStrings.xml><?xml version="1.0" encoding="utf-8"?>
<sst xmlns="http://schemas.openxmlformats.org/spreadsheetml/2006/main" count="446" uniqueCount="244">
  <si>
    <t>구 간</t>
    <phoneticPr fontId="5" type="noConversion"/>
  </si>
  <si>
    <t>(Sta.No)</t>
    <phoneticPr fontId="5" type="noConversion"/>
  </si>
  <si>
    <t>A-01</t>
    <phoneticPr fontId="5" type="noConversion"/>
  </si>
  <si>
    <t>+</t>
  </si>
  <si>
    <t>A-02</t>
    <phoneticPr fontId="5" type="noConversion"/>
  </si>
  <si>
    <t>A-03</t>
    <phoneticPr fontId="5" type="noConversion"/>
  </si>
  <si>
    <t>A-04</t>
    <phoneticPr fontId="5" type="noConversion"/>
  </si>
  <si>
    <t>A-05</t>
    <phoneticPr fontId="5" type="noConversion"/>
  </si>
  <si>
    <t>A-06</t>
    <phoneticPr fontId="5" type="noConversion"/>
  </si>
  <si>
    <t>A-07</t>
    <phoneticPr fontId="5" type="noConversion"/>
  </si>
  <si>
    <t>A-08</t>
    <phoneticPr fontId="5" type="noConversion"/>
  </si>
  <si>
    <t>A-09</t>
    <phoneticPr fontId="5" type="noConversion"/>
  </si>
  <si>
    <t>A-10</t>
    <phoneticPr fontId="5" type="noConversion"/>
  </si>
  <si>
    <t>A-11</t>
    <phoneticPr fontId="5" type="noConversion"/>
  </si>
  <si>
    <t>A-12</t>
    <phoneticPr fontId="5" type="noConversion"/>
  </si>
  <si>
    <t>A-13</t>
    <phoneticPr fontId="5" type="noConversion"/>
  </si>
  <si>
    <t>A-14</t>
    <phoneticPr fontId="5" type="noConversion"/>
  </si>
  <si>
    <t>A-15</t>
    <phoneticPr fontId="5" type="noConversion"/>
  </si>
  <si>
    <t>A-16</t>
    <phoneticPr fontId="5" type="noConversion"/>
  </si>
  <si>
    <t>A-17</t>
    <phoneticPr fontId="5" type="noConversion"/>
  </si>
  <si>
    <t>A-18</t>
    <phoneticPr fontId="5" type="noConversion"/>
  </si>
  <si>
    <t>A-19</t>
    <phoneticPr fontId="5" type="noConversion"/>
  </si>
  <si>
    <t>A-20</t>
    <phoneticPr fontId="5" type="noConversion"/>
  </si>
  <si>
    <t>A-21</t>
    <phoneticPr fontId="5" type="noConversion"/>
  </si>
  <si>
    <t>A-22</t>
    <phoneticPr fontId="5" type="noConversion"/>
  </si>
  <si>
    <t>A-23</t>
    <phoneticPr fontId="5" type="noConversion"/>
  </si>
  <si>
    <t>A-24</t>
    <phoneticPr fontId="5" type="noConversion"/>
  </si>
  <si>
    <t>A-25</t>
    <phoneticPr fontId="5" type="noConversion"/>
  </si>
  <si>
    <t>A-26</t>
    <phoneticPr fontId="5" type="noConversion"/>
  </si>
  <si>
    <t>A-27</t>
    <phoneticPr fontId="5" type="noConversion"/>
  </si>
  <si>
    <t>A-28</t>
    <phoneticPr fontId="5" type="noConversion"/>
  </si>
  <si>
    <t>A-29</t>
    <phoneticPr fontId="5" type="noConversion"/>
  </si>
  <si>
    <t>A-30</t>
    <phoneticPr fontId="5" type="noConversion"/>
  </si>
  <si>
    <t>+</t>
    <phoneticPr fontId="5" type="noConversion"/>
  </si>
  <si>
    <t>관경</t>
    <phoneticPr fontId="5" type="noConversion"/>
  </si>
  <si>
    <t>관두께</t>
    <phoneticPr fontId="5" type="noConversion"/>
  </si>
  <si>
    <t>측점</t>
  </si>
  <si>
    <t>토피고
(매설깊이)</t>
    <phoneticPr fontId="5" type="noConversion"/>
  </si>
  <si>
    <t>만족여부</t>
    <phoneticPr fontId="5" type="noConversion"/>
  </si>
  <si>
    <t>내압에 의한 검토</t>
    <phoneticPr fontId="5" type="noConversion"/>
  </si>
  <si>
    <r>
      <t>f</t>
    </r>
    <r>
      <rPr>
        <vertAlign val="subscript"/>
        <sz val="10"/>
        <rFont val="굴림체"/>
        <family val="3"/>
        <charset val="129"/>
      </rPr>
      <t>sa</t>
    </r>
    <r>
      <rPr>
        <sz val="10"/>
        <rFont val="굴림체"/>
        <family val="3"/>
        <charset val="129"/>
      </rPr>
      <t xml:space="preserve"> =</t>
    </r>
    <phoneticPr fontId="8" type="noConversion"/>
  </si>
  <si>
    <t>(p × d) / 2t</t>
    <phoneticPr fontId="5" type="noConversion"/>
  </si>
  <si>
    <t>토압</t>
    <phoneticPr fontId="5" type="noConversion"/>
  </si>
  <si>
    <r>
      <t xml:space="preserve">흙의단위
중량 </t>
    </r>
    <r>
      <rPr>
        <sz val="9"/>
        <rFont val="(환)신명조"/>
        <family val="1"/>
        <charset val="129"/>
      </rPr>
      <t>γ</t>
    </r>
    <r>
      <rPr>
        <vertAlign val="subscript"/>
        <sz val="9"/>
        <rFont val="(환)신명조"/>
        <family val="1"/>
        <charset val="129"/>
      </rPr>
      <t>t</t>
    </r>
    <phoneticPr fontId="8" type="noConversion"/>
  </si>
  <si>
    <t>추가 계산인자</t>
    <phoneticPr fontId="5" type="noConversion"/>
  </si>
  <si>
    <t>흙 단위중량</t>
    <phoneticPr fontId="5" type="noConversion"/>
  </si>
  <si>
    <t>Cd</t>
    <phoneticPr fontId="5" type="noConversion"/>
  </si>
  <si>
    <t>랭킨토압계수</t>
    <phoneticPr fontId="5" type="noConversion"/>
  </si>
  <si>
    <t>흙마찰각</t>
    <phoneticPr fontId="5" type="noConversion"/>
  </si>
  <si>
    <t>매설토와굴착면</t>
  </si>
  <si>
    <t>차량하중</t>
    <phoneticPr fontId="5" type="noConversion"/>
  </si>
  <si>
    <t>후륜하중</t>
    <phoneticPr fontId="5" type="noConversion"/>
  </si>
  <si>
    <t>충격계수</t>
    <phoneticPr fontId="5" type="noConversion"/>
  </si>
  <si>
    <t>분산각</t>
    <phoneticPr fontId="5" type="noConversion"/>
  </si>
  <si>
    <t>후륜 중심간격 L</t>
    <phoneticPr fontId="5" type="noConversion"/>
  </si>
  <si>
    <t>후륜 중심거리 c</t>
    <phoneticPr fontId="5" type="noConversion"/>
  </si>
  <si>
    <t>차량접지장</t>
    <phoneticPr fontId="5" type="noConversion"/>
  </si>
  <si>
    <t>후륜접지폭</t>
    <phoneticPr fontId="5" type="noConversion"/>
  </si>
  <si>
    <t>추가 
계산인자</t>
    <phoneticPr fontId="5" type="noConversion"/>
  </si>
  <si>
    <t>외부하중에 의한 관 휨응력</t>
    <phoneticPr fontId="5" type="noConversion"/>
  </si>
  <si>
    <t>추가
계산인자</t>
    <phoneticPr fontId="5" type="noConversion"/>
  </si>
  <si>
    <t>형상계수 f</t>
    <phoneticPr fontId="5" type="noConversion"/>
  </si>
  <si>
    <t>관 탄성계수</t>
    <phoneticPr fontId="5" type="noConversion"/>
  </si>
  <si>
    <t>흙 반력계수</t>
    <phoneticPr fontId="5" type="noConversion"/>
  </si>
  <si>
    <t>흙 반력계수 산정 기준 표</t>
    <phoneticPr fontId="5" type="noConversion"/>
  </si>
  <si>
    <t>흙의 종류</t>
  </si>
  <si>
    <r>
      <t>(</t>
    </r>
    <r>
      <rPr>
        <sz val="11"/>
        <color rgb="FF000000"/>
        <rFont val="휴먼명조"/>
        <charset val="129"/>
      </rPr>
      <t>통일 분류법에 따름</t>
    </r>
    <r>
      <rPr>
        <sz val="11"/>
        <color rgb="FF000000"/>
        <rFont val="돋움"/>
        <family val="3"/>
        <charset val="129"/>
      </rPr>
      <t>)</t>
    </r>
  </si>
  <si>
    <r>
      <t xml:space="preserve">다짐도에 따른 </t>
    </r>
    <r>
      <rPr>
        <sz val="11"/>
        <color rgb="FF000000"/>
        <rFont val="돋움"/>
        <family val="3"/>
        <charset val="129"/>
      </rPr>
      <t>E'(kg/</t>
    </r>
    <r>
      <rPr>
        <sz val="11"/>
        <color rgb="FF000000"/>
        <rFont val="휴먼명조"/>
        <charset val="129"/>
      </rPr>
      <t>㎠</t>
    </r>
    <r>
      <rPr>
        <sz val="11"/>
        <color rgb="FF000000"/>
        <rFont val="돋움"/>
        <family val="3"/>
        <charset val="129"/>
      </rPr>
      <t>)</t>
    </r>
  </si>
  <si>
    <t>다짐 없음</t>
  </si>
  <si>
    <t>∙약간의 다짐</t>
  </si>
  <si>
    <t>∙중간정도의 다짐</t>
  </si>
  <si>
    <r>
      <t>∙세립토</t>
    </r>
    <r>
      <rPr>
        <sz val="11"/>
        <color rgb="FF000000"/>
        <rFont val="돋움"/>
        <family val="3"/>
        <charset val="129"/>
      </rPr>
      <t xml:space="preserve">(LL&gt;50) </t>
    </r>
    <r>
      <rPr>
        <sz val="11"/>
        <color rgb="FF000000"/>
        <rFont val="휴먼명조"/>
        <charset val="129"/>
      </rPr>
      <t xml:space="preserve">중정도의 소성부터 고소성까지의 흙 </t>
    </r>
  </si>
  <si>
    <r>
      <t>∙</t>
    </r>
    <r>
      <rPr>
        <sz val="11"/>
        <color rgb="FF000000"/>
        <rFont val="돋움"/>
        <family val="3"/>
        <charset val="129"/>
      </rPr>
      <t>CH, MH, CH-MH</t>
    </r>
  </si>
  <si>
    <r>
      <t xml:space="preserve">이용 데이터가 없을 경우 </t>
    </r>
    <r>
      <rPr>
        <sz val="11"/>
        <color rgb="FF000000"/>
        <rFont val="돋움"/>
        <family val="3"/>
        <charset val="129"/>
      </rPr>
      <t xml:space="preserve">: </t>
    </r>
    <r>
      <rPr>
        <sz val="11"/>
        <color rgb="FF000000"/>
        <rFont val="휴먼명조"/>
        <charset val="129"/>
      </rPr>
      <t>토질 전문가와 협의</t>
    </r>
    <r>
      <rPr>
        <sz val="11"/>
        <color rgb="FF000000"/>
        <rFont val="돋움"/>
        <family val="3"/>
        <charset val="129"/>
      </rPr>
      <t xml:space="preserve">. </t>
    </r>
    <r>
      <rPr>
        <sz val="11"/>
        <color rgb="FF000000"/>
        <rFont val="휴먼명조"/>
        <charset val="129"/>
      </rPr>
      <t xml:space="preserve">기타의 경우는 </t>
    </r>
    <r>
      <rPr>
        <sz val="11"/>
        <color rgb="FF000000"/>
        <rFont val="돋움"/>
        <family val="3"/>
        <charset val="129"/>
      </rPr>
      <t>E'=0</t>
    </r>
    <r>
      <rPr>
        <sz val="11"/>
        <color rgb="FF000000"/>
        <rFont val="휴먼명조"/>
        <charset val="129"/>
      </rPr>
      <t>을 사용</t>
    </r>
  </si>
  <si>
    <r>
      <t>∙세립토</t>
    </r>
    <r>
      <rPr>
        <sz val="11"/>
        <color rgb="FF000000"/>
        <rFont val="돋움"/>
        <family val="3"/>
        <charset val="129"/>
      </rPr>
      <t>(LL</t>
    </r>
  </si>
  <si>
    <r>
      <t xml:space="preserve">50) </t>
    </r>
    <r>
      <rPr>
        <sz val="11"/>
        <color rgb="FF000000"/>
        <rFont val="휴먼명조"/>
        <charset val="129"/>
      </rPr>
      <t xml:space="preserve">중정도의 소성부터 소성이 없는 흙까지 </t>
    </r>
  </si>
  <si>
    <r>
      <t>∙</t>
    </r>
    <r>
      <rPr>
        <sz val="11"/>
        <color rgb="FF000000"/>
        <rFont val="돋움"/>
        <family val="3"/>
        <charset val="129"/>
      </rPr>
      <t>CL, ML, CL-ML (</t>
    </r>
    <r>
      <rPr>
        <sz val="11"/>
        <color rgb="FF000000"/>
        <rFont val="휴먼명조"/>
        <charset val="129"/>
      </rPr>
      <t xml:space="preserve">세립부분 </t>
    </r>
    <r>
      <rPr>
        <sz val="11"/>
        <color rgb="FF000000"/>
        <rFont val="돋움"/>
        <family val="3"/>
        <charset val="129"/>
      </rPr>
      <t>25%</t>
    </r>
    <r>
      <rPr>
        <sz val="11"/>
        <color rgb="FF000000"/>
        <rFont val="휴먼명조"/>
        <charset val="129"/>
      </rPr>
      <t>이하</t>
    </r>
    <r>
      <rPr>
        <sz val="11"/>
        <color rgb="FF000000"/>
        <rFont val="돋움"/>
        <family val="3"/>
        <charset val="129"/>
      </rPr>
      <t>)</t>
    </r>
  </si>
  <si>
    <r>
      <t>∙</t>
    </r>
    <r>
      <rPr>
        <sz val="11"/>
        <color rgb="FF000000"/>
        <rFont val="돋움"/>
        <family val="3"/>
        <charset val="129"/>
      </rPr>
      <t>CL, ML, CL-ML (</t>
    </r>
    <r>
      <rPr>
        <sz val="11"/>
        <color rgb="FF000000"/>
        <rFont val="휴먼명조"/>
        <charset val="129"/>
      </rPr>
      <t xml:space="preserve">세립부분 </t>
    </r>
    <r>
      <rPr>
        <sz val="11"/>
        <color rgb="FF000000"/>
        <rFont val="돋움"/>
        <family val="3"/>
        <charset val="129"/>
      </rPr>
      <t>25%</t>
    </r>
    <r>
      <rPr>
        <sz val="11"/>
        <color rgb="FF000000"/>
        <rFont val="휴먼명조"/>
        <charset val="129"/>
      </rPr>
      <t>이상</t>
    </r>
    <r>
      <rPr>
        <sz val="11"/>
        <color rgb="FF000000"/>
        <rFont val="돋움"/>
        <family val="3"/>
        <charset val="129"/>
      </rPr>
      <t xml:space="preserve">) </t>
    </r>
    <r>
      <rPr>
        <sz val="11"/>
        <color rgb="FF000000"/>
        <rFont val="휴먼명조"/>
        <charset val="129"/>
      </rPr>
      <t xml:space="preserve">세립토를 함유한 조립토 </t>
    </r>
  </si>
  <si>
    <r>
      <t>∙</t>
    </r>
    <r>
      <rPr>
        <sz val="11"/>
        <color rgb="FF000000"/>
        <rFont val="돋움"/>
        <family val="3"/>
        <charset val="129"/>
      </rPr>
      <t xml:space="preserve">GM, GC, SM, SC </t>
    </r>
  </si>
  <si>
    <r>
      <t>(12%</t>
    </r>
    <r>
      <rPr>
        <sz val="11"/>
        <color rgb="FF000000"/>
        <rFont val="휴먼명조"/>
        <charset val="129"/>
      </rPr>
      <t>이상의 세립토를 함유</t>
    </r>
    <r>
      <rPr>
        <sz val="11"/>
        <color rgb="FF000000"/>
        <rFont val="돋움"/>
        <family val="3"/>
        <charset val="129"/>
      </rPr>
      <t>)</t>
    </r>
  </si>
  <si>
    <r>
      <t>∙세립토를 거의 함유 않던가</t>
    </r>
    <r>
      <rPr>
        <sz val="11"/>
        <color rgb="FF000000"/>
        <rFont val="돋움"/>
        <family val="3"/>
        <charset val="129"/>
      </rPr>
      <t xml:space="preserve">, </t>
    </r>
    <r>
      <rPr>
        <sz val="11"/>
        <color rgb="FF000000"/>
        <rFont val="휴먼명조"/>
        <charset val="129"/>
      </rPr>
      <t xml:space="preserve">전혀 함유 하지 않은 조립토 </t>
    </r>
  </si>
  <si>
    <r>
      <t>∙</t>
    </r>
    <r>
      <rPr>
        <sz val="11"/>
        <color rgb="FF000000"/>
        <rFont val="돋움"/>
        <family val="3"/>
        <charset val="129"/>
      </rPr>
      <t xml:space="preserve">GW, GP, SW, SP </t>
    </r>
  </si>
  <si>
    <r>
      <t>(12%</t>
    </r>
    <r>
      <rPr>
        <sz val="11"/>
        <color rgb="FF000000"/>
        <rFont val="휴먼명조"/>
        <charset val="129"/>
      </rPr>
      <t>이하의 세립토를 함유</t>
    </r>
    <r>
      <rPr>
        <sz val="11"/>
        <color rgb="FF000000"/>
        <rFont val="돋움"/>
        <family val="3"/>
        <charset val="129"/>
      </rPr>
      <t>)</t>
    </r>
  </si>
  <si>
    <r>
      <rPr>
        <sz val="11"/>
        <color rgb="FF000000"/>
        <rFont val="돋움"/>
        <family val="3"/>
        <charset val="129"/>
      </rPr>
      <t xml:space="preserve">Proctor </t>
    </r>
    <r>
      <rPr>
        <sz val="11"/>
        <color rgb="FF000000"/>
        <rFont val="휴먼명조"/>
        <charset val="129"/>
      </rPr>
      <t xml:space="preserve">밀도로&gt;= 85 </t>
    </r>
    <r>
      <rPr>
        <sz val="11"/>
        <color rgb="FF000000"/>
        <rFont val="Calibri"/>
        <family val="2"/>
      </rPr>
      <t>~95%</t>
    </r>
    <phoneticPr fontId="5" type="noConversion"/>
  </si>
  <si>
    <r>
      <rPr>
        <sz val="11"/>
        <color rgb="FF000000"/>
        <rFont val="돋움"/>
        <family val="3"/>
        <charset val="129"/>
      </rPr>
      <t xml:space="preserve">Proctor </t>
    </r>
    <r>
      <rPr>
        <sz val="11"/>
        <color rgb="FF000000"/>
        <rFont val="휴먼명조"/>
        <charset val="129"/>
      </rPr>
      <t>밀도로 &lt; 85%</t>
    </r>
    <phoneticPr fontId="5" type="noConversion"/>
  </si>
  <si>
    <r>
      <rPr>
        <sz val="11"/>
        <color rgb="FF000000"/>
        <rFont val="휴먼명조"/>
        <charset val="129"/>
      </rPr>
      <t>상대 밀도로 &gt;= 40</t>
    </r>
    <r>
      <rPr>
        <sz val="11"/>
        <color rgb="FF000000"/>
        <rFont val="Calibri"/>
        <family val="2"/>
      </rPr>
      <t>~70%</t>
    </r>
    <phoneticPr fontId="5" type="noConversion"/>
  </si>
  <si>
    <t>상대 밀도로 &lt; 40%</t>
    <phoneticPr fontId="5" type="noConversion"/>
  </si>
  <si>
    <r>
      <rPr>
        <sz val="11"/>
        <color rgb="FF000000"/>
        <rFont val="휴먼명조"/>
        <charset val="129"/>
      </rPr>
      <t>세립토</t>
    </r>
    <r>
      <rPr>
        <sz val="11"/>
        <color rgb="FF000000"/>
        <rFont val="돋움"/>
        <family val="3"/>
        <charset val="129"/>
      </rPr>
      <t>(LL</t>
    </r>
    <r>
      <rPr>
        <sz val="11"/>
        <color rgb="FF000000"/>
        <rFont val="휴먼명조"/>
        <charset val="129"/>
      </rPr>
      <t xml:space="preserve">     </t>
    </r>
    <r>
      <rPr>
        <sz val="11"/>
        <color rgb="FF000000"/>
        <rFont val="Calibri"/>
        <family val="2"/>
      </rPr>
      <t xml:space="preserve">50) </t>
    </r>
    <r>
      <rPr>
        <sz val="11"/>
        <color rgb="FF000000"/>
        <rFont val="휴먼명조"/>
        <charset val="129"/>
      </rPr>
      <t>중정도의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휴먼명조"/>
        <charset val="129"/>
      </rPr>
      <t>소성부터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휴먼명조"/>
        <charset val="129"/>
      </rPr>
      <t>소성이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휴먼명조"/>
        <charset val="129"/>
      </rPr>
      <t>없는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휴먼명조"/>
        <charset val="129"/>
      </rPr>
      <t>흙까지</t>
    </r>
    <r>
      <rPr>
        <sz val="11"/>
        <color rgb="FF000000"/>
        <rFont val="Calibri"/>
        <family val="2"/>
      </rPr>
      <t xml:space="preserve"> </t>
    </r>
    <phoneticPr fontId="5" type="noConversion"/>
  </si>
  <si>
    <t>:직접 입력</t>
    <phoneticPr fontId="5" type="noConversion"/>
  </si>
  <si>
    <t>Kb</t>
    <phoneticPr fontId="5" type="noConversion"/>
  </si>
  <si>
    <t>Kx</t>
    <phoneticPr fontId="5" type="noConversion"/>
  </si>
  <si>
    <t>(기초지지각 90도)</t>
    <phoneticPr fontId="5" type="noConversion"/>
  </si>
  <si>
    <t>외부 휨응력
(mpa)</t>
    <phoneticPr fontId="5" type="noConversion"/>
  </si>
  <si>
    <t>만족 여부</t>
    <phoneticPr fontId="5" type="noConversion"/>
  </si>
  <si>
    <t>2 Kx (Wv + Wt) R⁴</t>
  </si>
  <si>
    <t>E I + 0.06146 E' R³</t>
  </si>
  <si>
    <t>Δx =</t>
    <phoneticPr fontId="5" type="noConversion"/>
  </si>
  <si>
    <t>관 반경(cm)</t>
    <phoneticPr fontId="5" type="noConversion"/>
  </si>
  <si>
    <t>외압에 의한 
관체 변형량</t>
    <phoneticPr fontId="5" type="noConversion"/>
  </si>
  <si>
    <t>관체 변형율(%)</t>
    <phoneticPr fontId="5" type="noConversion"/>
  </si>
  <si>
    <t xml:space="preserve"> =  Δx / 관경(D)×100</t>
  </si>
  <si>
    <t>변형율(%)</t>
    <phoneticPr fontId="5" type="noConversion"/>
  </si>
  <si>
    <t>설계계수
(FS)</t>
    <phoneticPr fontId="5" type="noConversion"/>
  </si>
  <si>
    <t>부력계수</t>
    <phoneticPr fontId="5" type="noConversion"/>
  </si>
  <si>
    <t>기초계수
(B`)</t>
    <phoneticPr fontId="5" type="noConversion"/>
  </si>
  <si>
    <t>허용좌굴하중
(kg/cm2)</t>
    <phoneticPr fontId="5" type="noConversion"/>
  </si>
  <si>
    <t>총 연직하중
(kg/cm2)</t>
    <phoneticPr fontId="5" type="noConversion"/>
  </si>
  <si>
    <t>외압에 의한 좌굴하중</t>
  </si>
  <si>
    <t>Δx
(cm)</t>
    <phoneticPr fontId="5" type="noConversion"/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</si>
  <si>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</si>
  <si>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</si>
  <si>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</si>
  <si>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</si>
  <si>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</si>
  <si>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</si>
  <si>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</si>
  <si>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</si>
  <si>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</si>
  <si>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</si>
  <si>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</si>
  <si>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</si>
  <si>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</si>
  <si>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</si>
  <si>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</si>
  <si>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</si>
  <si>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</si>
  <si>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</si>
  <si>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</si>
  <si>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</si>
  <si>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</si>
  <si>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</si>
  <si>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A-25</t>
  </si>
  <si>
    <t>A-26</t>
  </si>
  <si>
    <t>A-27</t>
  </si>
  <si>
    <t>A-28</t>
  </si>
  <si>
    <t>A-29</t>
  </si>
  <si>
    <t>A-30</t>
  </si>
  <si>
    <t>A-01</t>
    <phoneticPr fontId="5" type="noConversion"/>
  </si>
  <si>
    <t>A-02</t>
    <phoneticPr fontId="5" type="noConversion"/>
  </si>
  <si>
    <t>구간</t>
    <phoneticPr fontId="5" type="noConversion"/>
  </si>
  <si>
    <t>내압작용</t>
    <phoneticPr fontId="5" type="noConversion"/>
  </si>
  <si>
    <t>외압작용</t>
    <phoneticPr fontId="5" type="noConversion"/>
  </si>
  <si>
    <t>외압에 의한 변형률</t>
    <phoneticPr fontId="5" type="noConversion"/>
  </si>
  <si>
    <t>외압에 의한 좌굴하중</t>
    <phoneticPr fontId="5" type="noConversion"/>
  </si>
  <si>
    <t>안전성 검토</t>
    <phoneticPr fontId="5" type="noConversion"/>
  </si>
  <si>
    <t>OK</t>
    <phoneticPr fontId="5" type="noConversion"/>
  </si>
  <si>
    <t>측점
(Sta.No)</t>
    <phoneticPr fontId="5" type="noConversion"/>
  </si>
  <si>
    <t>관두께
(mm)</t>
    <phoneticPr fontId="5" type="noConversion"/>
  </si>
  <si>
    <t>관경
(mm)</t>
    <phoneticPr fontId="5" type="noConversion"/>
  </si>
  <si>
    <t>토피고
(m)</t>
    <phoneticPr fontId="5" type="noConversion"/>
  </si>
  <si>
    <t>관중심고
(m)</t>
    <phoneticPr fontId="5" type="noConversion"/>
  </si>
  <si>
    <t>기준점 동수두
(m)</t>
    <phoneticPr fontId="5" type="noConversion"/>
  </si>
  <si>
    <t>손실수두
(m)</t>
    <phoneticPr fontId="5" type="noConversion"/>
  </si>
  <si>
    <t>계산동수두
(m)</t>
    <phoneticPr fontId="5" type="noConversion"/>
  </si>
  <si>
    <t>[안전성 검토_계산조건 단위환산표]</t>
    <phoneticPr fontId="5" type="noConversion"/>
  </si>
  <si>
    <t>유량 
(㎥/sec)</t>
    <phoneticPr fontId="5" type="noConversion"/>
  </si>
  <si>
    <t>최소관두께 
기준 (mm)</t>
    <phoneticPr fontId="5" type="noConversion"/>
  </si>
  <si>
    <t>[최소 관두께 만족 여부]</t>
    <phoneticPr fontId="5" type="noConversion"/>
  </si>
  <si>
    <t>토압
(2m이하)</t>
    <phoneticPr fontId="5" type="noConversion"/>
  </si>
  <si>
    <t>토압
(2m초과)</t>
    <phoneticPr fontId="5" type="noConversion"/>
  </si>
  <si>
    <t>굴착폭(B)</t>
    <phoneticPr fontId="5" type="noConversion"/>
  </si>
  <si>
    <t>계산 조건</t>
    <phoneticPr fontId="5" type="noConversion"/>
  </si>
  <si>
    <t>만족 
여부</t>
    <phoneticPr fontId="5" type="noConversion"/>
  </si>
  <si>
    <t>단면2차모멘트
I (㎤)</t>
    <phoneticPr fontId="5" type="noConversion"/>
  </si>
  <si>
    <t>단면계수 
Z (㎤)</t>
    <phoneticPr fontId="5" type="noConversion"/>
  </si>
  <si>
    <t>토압 We
(kgf/㎠)</t>
    <phoneticPr fontId="5" type="noConversion"/>
  </si>
  <si>
    <t>차량하중 Wt
(kgf/㎠)</t>
    <phoneticPr fontId="5" type="noConversion"/>
  </si>
  <si>
    <t>외부 휨응력
(kgf/㎠)</t>
    <phoneticPr fontId="5" type="noConversion"/>
  </si>
  <si>
    <t>[외압에 의한 원주방향 응력 검토]</t>
    <phoneticPr fontId="5" type="noConversion"/>
  </si>
  <si>
    <t>차량대수
 i</t>
    <phoneticPr fontId="5" type="noConversion"/>
  </si>
  <si>
    <t>허용좌굴하중
(kgf/㎠)</t>
    <phoneticPr fontId="5" type="noConversion"/>
  </si>
  <si>
    <t>총 연직하중
(kgf/㎠)</t>
    <phoneticPr fontId="5" type="noConversion"/>
  </si>
  <si>
    <t>[관체 변형율 및 좌굴하중에 의한 안전성검토]</t>
    <phoneticPr fontId="5" type="noConversion"/>
  </si>
  <si>
    <t>위치
(Sta. No.)</t>
    <phoneticPr fontId="5" type="noConversion"/>
  </si>
  <si>
    <t>발생 휨응력
(Mpa)</t>
    <phoneticPr fontId="5" type="noConversion"/>
  </si>
  <si>
    <t>내압 
안전계수</t>
    <phoneticPr fontId="5" type="noConversion"/>
  </si>
  <si>
    <t>발생휨응력
(Mpa)</t>
    <phoneticPr fontId="5" type="noConversion"/>
  </si>
  <si>
    <t>외압 
안전계수</t>
    <phoneticPr fontId="5" type="noConversion"/>
  </si>
  <si>
    <t>발생 변형률
(%)</t>
    <phoneticPr fontId="5" type="noConversion"/>
  </si>
  <si>
    <t>변형률 
안전계수</t>
    <phoneticPr fontId="5" type="noConversion"/>
  </si>
  <si>
    <t>허용 좌굴하중 
(Mpa)</t>
    <phoneticPr fontId="5" type="noConversion"/>
  </si>
  <si>
    <t>발생 좌굴하중 
(Mpa)</t>
    <phoneticPr fontId="5" type="noConversion"/>
  </si>
  <si>
    <t>좌굴하중 
안전율</t>
    <phoneticPr fontId="5" type="noConversion"/>
  </si>
  <si>
    <t>[구조적 안전성 검토 간략 결과표]</t>
    <phoneticPr fontId="5" type="noConversion"/>
  </si>
  <si>
    <t>안전율
(SF)</t>
    <phoneticPr fontId="5" type="noConversion"/>
  </si>
  <si>
    <t>소구간</t>
  </si>
  <si>
    <t xml:space="preserve">위 치 </t>
  </si>
  <si>
    <t>(Sta. No.)</t>
  </si>
  <si>
    <t>관 경</t>
  </si>
  <si>
    <r>
      <t>(</t>
    </r>
    <r>
      <rPr>
        <b/>
        <sz val="9"/>
        <color rgb="FF000000"/>
        <rFont val="HY신명조"/>
        <family val="1"/>
        <charset val="129"/>
      </rPr>
      <t>㎜</t>
    </r>
    <r>
      <rPr>
        <b/>
        <sz val="9"/>
        <color rgb="FF000000"/>
        <rFont val="돋움"/>
        <family val="3"/>
        <charset val="129"/>
      </rPr>
      <t>)</t>
    </r>
  </si>
  <si>
    <t>정수압</t>
  </si>
  <si>
    <r>
      <t>(</t>
    </r>
    <r>
      <rPr>
        <b/>
        <sz val="9"/>
        <color rgb="FF000000"/>
        <rFont val="HY신명조"/>
        <family val="1"/>
        <charset val="129"/>
      </rPr>
      <t>㎫</t>
    </r>
    <r>
      <rPr>
        <b/>
        <sz val="9"/>
        <color rgb="FF000000"/>
        <rFont val="돋움"/>
        <family val="3"/>
        <charset val="129"/>
      </rPr>
      <t>)</t>
    </r>
  </si>
  <si>
    <t>내압에 의한 
원주방향 응력</t>
    <phoneticPr fontId="5" type="noConversion"/>
  </si>
  <si>
    <t>허용응력 
기준</t>
    <phoneticPr fontId="5" type="noConversion"/>
  </si>
  <si>
    <r>
      <t>[</t>
    </r>
    <r>
      <rPr>
        <b/>
        <sz val="13"/>
        <rFont val="굴림체"/>
        <family val="3"/>
        <charset val="129"/>
      </rPr>
      <t>내압</t>
    </r>
    <r>
      <rPr>
        <b/>
        <sz val="13"/>
        <rFont val="Arial Narrow"/>
        <family val="2"/>
      </rPr>
      <t xml:space="preserve"> </t>
    </r>
    <r>
      <rPr>
        <b/>
        <sz val="13"/>
        <rFont val="굴림체"/>
        <family val="3"/>
        <charset val="129"/>
      </rPr>
      <t>원주방향에</t>
    </r>
    <r>
      <rPr>
        <b/>
        <sz val="13"/>
        <rFont val="Arial Narrow"/>
        <family val="2"/>
      </rPr>
      <t xml:space="preserve"> </t>
    </r>
    <r>
      <rPr>
        <b/>
        <sz val="13"/>
        <rFont val="굴림체"/>
        <family val="3"/>
        <charset val="129"/>
      </rPr>
      <t>의한</t>
    </r>
    <r>
      <rPr>
        <b/>
        <sz val="13"/>
        <rFont val="Arial Narrow"/>
        <family val="2"/>
      </rPr>
      <t xml:space="preserve"> </t>
    </r>
    <r>
      <rPr>
        <b/>
        <sz val="13"/>
        <rFont val="굴림체"/>
        <family val="3"/>
        <charset val="129"/>
      </rPr>
      <t>응력</t>
    </r>
    <r>
      <rPr>
        <b/>
        <sz val="13"/>
        <rFont val="Arial Narrow"/>
        <family val="2"/>
      </rPr>
      <t xml:space="preserve"> </t>
    </r>
    <r>
      <rPr>
        <b/>
        <sz val="13"/>
        <rFont val="굴림체"/>
        <family val="3"/>
        <charset val="129"/>
      </rPr>
      <t>검토</t>
    </r>
    <r>
      <rPr>
        <b/>
        <sz val="13"/>
        <rFont val="Arial Narrow"/>
        <family val="2"/>
      </rPr>
      <t>]</t>
    </r>
    <phoneticPr fontId="5" type="noConversion"/>
  </si>
  <si>
    <r>
      <rPr>
        <b/>
        <sz val="10"/>
        <rFont val="굴림체"/>
        <family val="3"/>
        <charset val="129"/>
      </rPr>
      <t xml:space="preserve">측점
</t>
    </r>
    <r>
      <rPr>
        <b/>
        <sz val="10"/>
        <rFont val="Arial Narrow"/>
        <family val="2"/>
      </rPr>
      <t>(Sta.No)</t>
    </r>
    <phoneticPr fontId="5" type="noConversion"/>
  </si>
  <si>
    <r>
      <rPr>
        <b/>
        <sz val="11"/>
        <rFont val="돋움"/>
        <family val="3"/>
        <charset val="129"/>
      </rPr>
      <t xml:space="preserve">관경
</t>
    </r>
    <r>
      <rPr>
        <b/>
        <sz val="11"/>
        <rFont val="Arial Narrow"/>
        <family val="2"/>
      </rPr>
      <t>(mm)</t>
    </r>
    <phoneticPr fontId="5" type="noConversion"/>
  </si>
  <si>
    <r>
      <rPr>
        <b/>
        <sz val="11"/>
        <rFont val="돋움"/>
        <family val="3"/>
        <charset val="129"/>
      </rPr>
      <t xml:space="preserve">관두께
</t>
    </r>
    <r>
      <rPr>
        <b/>
        <sz val="11"/>
        <rFont val="Arial Narrow"/>
        <family val="2"/>
      </rPr>
      <t>(mm)</t>
    </r>
    <phoneticPr fontId="5" type="noConversion"/>
  </si>
  <si>
    <r>
      <rPr>
        <b/>
        <sz val="11"/>
        <rFont val="돋움"/>
        <family val="3"/>
        <charset val="129"/>
      </rPr>
      <t xml:space="preserve">정수압
</t>
    </r>
    <r>
      <rPr>
        <b/>
        <sz val="11"/>
        <rFont val="Arial Narrow"/>
        <family val="2"/>
      </rPr>
      <t>(mpa)</t>
    </r>
    <phoneticPr fontId="5" type="noConversion"/>
  </si>
  <si>
    <r>
      <rPr>
        <b/>
        <sz val="11"/>
        <rFont val="돋움"/>
        <family val="3"/>
        <charset val="129"/>
      </rPr>
      <t xml:space="preserve">발생휨응력
</t>
    </r>
    <r>
      <rPr>
        <b/>
        <sz val="11"/>
        <rFont val="Arial Narrow"/>
        <family val="2"/>
      </rPr>
      <t>(mpa)</t>
    </r>
    <phoneticPr fontId="5" type="noConversion"/>
  </si>
  <si>
    <r>
      <rPr>
        <b/>
        <sz val="11"/>
        <rFont val="돋움"/>
        <family val="3"/>
        <charset val="129"/>
      </rPr>
      <t xml:space="preserve">허용응력기준
</t>
    </r>
    <r>
      <rPr>
        <b/>
        <sz val="11"/>
        <rFont val="Arial Narrow"/>
        <family val="2"/>
      </rPr>
      <t>(mpa)</t>
    </r>
    <phoneticPr fontId="5" type="noConversion"/>
  </si>
  <si>
    <r>
      <rPr>
        <b/>
        <sz val="11"/>
        <rFont val="돋움"/>
        <family val="3"/>
        <charset val="129"/>
      </rPr>
      <t xml:space="preserve">안전율
</t>
    </r>
    <r>
      <rPr>
        <b/>
        <sz val="11"/>
        <rFont val="Arial Narrow"/>
        <family val="2"/>
      </rPr>
      <t>(SF)</t>
    </r>
    <phoneticPr fontId="5" type="noConversion"/>
  </si>
  <si>
    <r>
      <rPr>
        <b/>
        <sz val="11"/>
        <rFont val="돋움"/>
        <family val="3"/>
        <charset val="129"/>
      </rPr>
      <t>만족
여부</t>
    </r>
    <phoneticPr fontId="5" type="noConversion"/>
  </si>
  <si>
    <r>
      <rPr>
        <b/>
        <sz val="10"/>
        <rFont val="굴림체"/>
        <family val="3"/>
        <charset val="129"/>
      </rPr>
      <t>최대수두</t>
    </r>
    <phoneticPr fontId="5" type="noConversion"/>
  </si>
  <si>
    <t>관 제원</t>
    <phoneticPr fontId="5" type="noConversion"/>
  </si>
  <si>
    <t>계산인자</t>
    <phoneticPr fontId="5" type="noConversion"/>
  </si>
  <si>
    <t>매설토와
굴착면</t>
    <phoneticPr fontId="5" type="noConversion"/>
  </si>
  <si>
    <t>흙 
반력계수</t>
    <phoneticPr fontId="5" type="noConversion"/>
  </si>
  <si>
    <r>
      <t>관로 매설현황표</t>
    </r>
    <r>
      <rPr>
        <b/>
        <sz val="18"/>
        <color indexed="8"/>
        <rFont val="Arial Narrow"/>
        <family val="2"/>
      </rPr>
      <t/>
    </r>
    <phoneticPr fontId="5" type="noConversion"/>
  </si>
  <si>
    <t>관로
계통</t>
    <phoneticPr fontId="5" type="noConversion"/>
  </si>
  <si>
    <t>관로
계통</t>
    <phoneticPr fontId="50" type="noConversion"/>
  </si>
  <si>
    <t>관로
구간</t>
    <phoneticPr fontId="5" type="noConversion"/>
  </si>
  <si>
    <t>세부
구간</t>
    <phoneticPr fontId="5" type="noConversion"/>
  </si>
  <si>
    <t>위  치
(Sta. No.)</t>
    <phoneticPr fontId="50" type="noConversion"/>
  </si>
  <si>
    <t>연장
(m)</t>
    <phoneticPr fontId="5" type="noConversion"/>
  </si>
  <si>
    <t>누계연장
(m)</t>
    <phoneticPr fontId="5" type="noConversion"/>
  </si>
  <si>
    <t>관종</t>
    <phoneticPr fontId="5" type="noConversion"/>
  </si>
  <si>
    <t>매설
년도</t>
    <phoneticPr fontId="5" type="noConversion"/>
  </si>
  <si>
    <t>매설
깊이
(m)</t>
    <phoneticPr fontId="5" type="noConversion"/>
  </si>
  <si>
    <t>최대
정수압
(MPa)</t>
    <phoneticPr fontId="5" type="noConversion"/>
  </si>
  <si>
    <t>매설
지역</t>
    <phoneticPr fontId="5" type="noConversion"/>
  </si>
  <si>
    <t>주요 조사내용</t>
    <phoneticPr fontId="5" type="noConversion"/>
  </si>
  <si>
    <t>비고</t>
    <phoneticPr fontId="50" type="noConversion"/>
  </si>
  <si>
    <t>SP</t>
    <phoneticPr fontId="50" type="noConversion"/>
  </si>
  <si>
    <t>도로</t>
    <phoneticPr fontId="50" type="noConversion"/>
  </si>
  <si>
    <t>관 반경
(cm)</t>
    <phoneticPr fontId="5" type="noConversion"/>
  </si>
  <si>
    <t>충격
계수</t>
    <phoneticPr fontId="5" type="noConversion"/>
  </si>
  <si>
    <t>차량
대수 
i</t>
    <phoneticPr fontId="5" type="noConversion"/>
  </si>
  <si>
    <t>굴착폭
(B)</t>
    <phoneticPr fontId="5" type="noConversion"/>
  </si>
  <si>
    <t>흙 
단위중량</t>
    <phoneticPr fontId="5" type="noConversion"/>
  </si>
  <si>
    <t>차량하중 
Wt
(kgf/㎠)</t>
    <phoneticPr fontId="5" type="noConversion"/>
  </si>
  <si>
    <t>단면
2차
모멘트
I (㎤)</t>
    <phoneticPr fontId="5" type="noConversion"/>
  </si>
  <si>
    <t>단면
계수 
Z 
(㎤)</t>
    <phoneticPr fontId="5" type="noConversion"/>
  </si>
  <si>
    <t>외부 
휨응력
(kgf/㎠)</t>
    <phoneticPr fontId="5" type="noConversion"/>
  </si>
  <si>
    <t>외부 
휨응력
(mpa)</t>
    <phoneticPr fontId="5" type="noConversion"/>
  </si>
  <si>
    <t>외압 원주방향 응력</t>
    <phoneticPr fontId="5" type="noConversion"/>
  </si>
  <si>
    <t>Sta.No.</t>
    <phoneticPr fontId="5" type="noConversion"/>
  </si>
  <si>
    <r>
      <rPr>
        <b/>
        <sz val="11"/>
        <rFont val="맑은 고딕"/>
        <family val="3"/>
        <charset val="129"/>
      </rPr>
      <t>관로</t>
    </r>
    <r>
      <rPr>
        <b/>
        <sz val="11"/>
        <rFont val="Arial Narrow"/>
        <family val="3"/>
      </rPr>
      <t xml:space="preserve">
</t>
    </r>
    <r>
      <rPr>
        <b/>
        <sz val="11"/>
        <rFont val="맑은 고딕"/>
        <family val="3"/>
        <charset val="129"/>
      </rPr>
      <t>계통</t>
    </r>
    <phoneticPr fontId="5" type="noConversion"/>
  </si>
  <si>
    <t>나대지</t>
    <phoneticPr fontId="50" type="noConversion"/>
  </si>
  <si>
    <t>하안 송수</t>
    <phoneticPr fontId="50" type="noConversion"/>
  </si>
  <si>
    <t>02</t>
    <phoneticPr fontId="5" type="noConversion"/>
  </si>
  <si>
    <t>01</t>
    <phoneticPr fontId="5" type="noConversion"/>
  </si>
  <si>
    <t>03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</si>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</sst>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76" formatCode="0.00_ "/>
    <numFmt numFmtId="177" formatCode="0.000"/>
    <numFmt numFmtId="178" formatCode="#,###&quot;㎏/㎥&quot;"/>
    <numFmt numFmtId="179" formatCode="#,##0&quot;cm&quot;"/>
    <numFmt numFmtId="180" formatCode="0.00_ ;[Red]\-0.00\ "/>
    <numFmt numFmtId="181" formatCode="#,##0.000&quot;kg/cm2&quot;"/>
    <numFmt numFmtId="182" formatCode="0.0"/>
    <numFmt numFmtId="183" formatCode="#,##0.00&quot;kg/cm2&quot;"/>
    <numFmt numFmtId="184" formatCode="#,##0&quot;kg/cm2&quot;"/>
    <numFmt numFmtId="185" formatCode="_ * #,##0_ ;_ * \-#,##0_ ;_ * &quot;-&quot;_ ;_ @_ "/>
    <numFmt numFmtId="186" formatCode="_ * #,##0.00_ ;_ * \-#,##0.00_ ;_ * &quot;-&quot;??_ ;_ @_ "/>
    <numFmt numFmtId="187" formatCode="\ \ \ \ \ \ \ \ \ \ \ &quot;(\&quot;#,##0&quot;)&quot;"/>
    <numFmt numFmtId="188" formatCode="#,##0;[Red]&quot;-&quot;#,##0"/>
    <numFmt numFmtId="189" formatCode="#,##0.00&quot;cm&quot;"/>
    <numFmt numFmtId="191" formatCode="0.E+00"/>
    <numFmt numFmtId="192" formatCode="&quot;0&quot;General"/>
  </numFmts>
  <fonts count="6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4"/>
      <name val="뼻뮝"/>
      <family val="1"/>
      <charset val="129"/>
    </font>
    <font>
      <vertAlign val="subscript"/>
      <sz val="10"/>
      <name val="굴림체"/>
      <family val="3"/>
      <charset val="129"/>
    </font>
    <font>
      <b/>
      <sz val="11"/>
      <name val="돋움"/>
      <family val="3"/>
      <charset val="129"/>
    </font>
    <font>
      <sz val="9"/>
      <name val="굴림체"/>
      <family val="3"/>
      <charset val="129"/>
    </font>
    <font>
      <sz val="9"/>
      <name val="(환)신명조"/>
      <family val="1"/>
      <charset val="129"/>
    </font>
    <font>
      <vertAlign val="subscript"/>
      <sz val="9"/>
      <name val="(환)신명조"/>
      <family val="1"/>
      <charset val="129"/>
    </font>
    <font>
      <sz val="10"/>
      <color indexed="10"/>
      <name val="굴림체"/>
      <family val="3"/>
      <charset val="129"/>
    </font>
    <font>
      <sz val="10"/>
      <color theme="1"/>
      <name val="굴림체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휴먼명조"/>
      <family val="3"/>
      <charset val="129"/>
    </font>
    <font>
      <sz val="11"/>
      <color rgb="FF000000"/>
      <name val="휴먼명조"/>
      <charset val="129"/>
    </font>
    <font>
      <sz val="11"/>
      <color rgb="FF000000"/>
      <name val="휴먼명조"/>
      <family val="1"/>
      <charset val="129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1"/>
      <color rgb="FF0000FF"/>
      <name val="돋움"/>
      <family val="3"/>
      <charset val="129"/>
    </font>
    <font>
      <sz val="10.5"/>
      <color rgb="FF000000"/>
      <name val="HY신명조"/>
      <family val="1"/>
      <charset val="129"/>
    </font>
    <font>
      <sz val="11"/>
      <color theme="1"/>
      <name val="돋움"/>
      <family val="3"/>
      <charset val="129"/>
    </font>
    <font>
      <b/>
      <sz val="14"/>
      <name val="돋움"/>
      <family val="3"/>
      <charset val="129"/>
    </font>
    <font>
      <b/>
      <sz val="13"/>
      <name val="돋움"/>
      <family val="3"/>
      <charset val="129"/>
    </font>
    <font>
      <b/>
      <sz val="13"/>
      <name val="굴림체"/>
      <family val="3"/>
      <charset val="129"/>
    </font>
    <font>
      <b/>
      <sz val="11"/>
      <color theme="1"/>
      <name val="돋움"/>
      <family val="3"/>
      <charset val="129"/>
    </font>
    <font>
      <b/>
      <sz val="9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  <font>
      <b/>
      <sz val="10"/>
      <name val="Arial Narrow"/>
      <family val="2"/>
    </font>
    <font>
      <b/>
      <sz val="9"/>
      <color rgb="FF000000"/>
      <name val="돋움"/>
      <family val="3"/>
      <charset val="129"/>
    </font>
    <font>
      <b/>
      <sz val="9"/>
      <color rgb="FF000000"/>
      <name val="HY신명조"/>
      <family val="1"/>
      <charset val="129"/>
    </font>
    <font>
      <sz val="10"/>
      <name val="Arial Narrow"/>
      <family val="2"/>
    </font>
    <font>
      <b/>
      <sz val="13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8"/>
      <color indexed="8"/>
      <name val="굴림"/>
      <family val="3"/>
      <charset val="129"/>
    </font>
    <font>
      <b/>
      <sz val="18"/>
      <color indexed="8"/>
      <name val="Arial Narrow"/>
      <family val="2"/>
    </font>
    <font>
      <b/>
      <sz val="8"/>
      <color indexed="8"/>
      <name val="굴림"/>
      <family val="3"/>
      <charset val="129"/>
    </font>
    <font>
      <sz val="8"/>
      <color theme="1"/>
      <name val="굴림"/>
      <family val="3"/>
      <charset val="129"/>
    </font>
    <font>
      <b/>
      <sz val="7"/>
      <color indexed="8"/>
      <name val="굴림"/>
      <family val="3"/>
      <charset val="129"/>
    </font>
    <font>
      <b/>
      <sz val="7"/>
      <name val="굴림"/>
      <family val="3"/>
      <charset val="129"/>
    </font>
    <font>
      <sz val="7"/>
      <color theme="1"/>
      <name val="굴림"/>
      <family val="3"/>
      <charset val="129"/>
    </font>
    <font>
      <sz val="7"/>
      <name val="굴림"/>
      <family val="3"/>
      <charset val="129"/>
    </font>
    <font>
      <sz val="8"/>
      <name val="맑은 고딕"/>
      <family val="2"/>
      <charset val="129"/>
      <scheme val="minor"/>
    </font>
    <font>
      <sz val="7"/>
      <color indexed="8"/>
      <name val="굴림"/>
      <family val="3"/>
      <charset val="129"/>
    </font>
    <font>
      <sz val="7"/>
      <color rgb="FF000000"/>
      <name val="굴림"/>
      <family val="3"/>
      <charset val="129"/>
    </font>
    <font>
      <sz val="8"/>
      <color rgb="FF000000"/>
      <name val="굴림"/>
      <family val="3"/>
      <charset val="129"/>
    </font>
    <font>
      <sz val="8"/>
      <name val="굴림"/>
      <family val="3"/>
      <charset val="129"/>
    </font>
    <font>
      <sz val="8"/>
      <color rgb="FFFF0000"/>
      <name val="굴림"/>
      <family val="3"/>
      <charset val="129"/>
    </font>
    <font>
      <sz val="8"/>
      <color indexed="8"/>
      <name val="굴림"/>
      <family val="3"/>
      <charset val="129"/>
    </font>
    <font>
      <b/>
      <sz val="11"/>
      <name val="맑은 고딕"/>
      <family val="3"/>
      <charset val="129"/>
    </font>
    <font>
      <b/>
      <sz val="11"/>
      <name val="Arial Narrow"/>
      <family val="3"/>
    </font>
    <font>
      <b/>
      <sz val="11"/>
      <name val="Arial Narrow"/>
      <family val="3"/>
      <charset val="129"/>
    </font>
    <font>
      <sz val="8"/>
      <color rgb="FF0000FF"/>
      <name val="굴림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</fills>
  <borders count="51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0">
    <xf numFmtId="0" fontId="0" fillId="0" borderId="0"/>
    <xf numFmtId="0" fontId="7" fillId="0" borderId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85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0" fontId="2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88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14" fillId="0" borderId="2" xfId="0" applyNumberFormat="1" applyFont="1" applyBorder="1" applyAlignment="1">
      <alignment vertical="center"/>
    </xf>
    <xf numFmtId="178" fontId="14" fillId="0" borderId="5" xfId="0" applyNumberFormat="1" applyFont="1" applyBorder="1" applyAlignment="1">
      <alignment vertical="center"/>
    </xf>
    <xf numFmtId="0" fontId="11" fillId="0" borderId="7" xfId="0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179" fontId="15" fillId="0" borderId="6" xfId="0" applyNumberFormat="1" applyFont="1" applyBorder="1" applyAlignment="1">
      <alignment horizontal="center" vertical="center"/>
    </xf>
    <xf numFmtId="180" fontId="0" fillId="0" borderId="6" xfId="0" applyNumberFormat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177" fontId="15" fillId="0" borderId="6" xfId="0" applyNumberFormat="1" applyFont="1" applyBorder="1" applyAlignment="1">
      <alignment horizontal="center" vertical="center"/>
    </xf>
    <xf numFmtId="181" fontId="15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0" fillId="4" borderId="11" xfId="0" applyFill="1" applyBorder="1" applyAlignment="1">
      <alignment vertical="center"/>
    </xf>
    <xf numFmtId="0" fontId="19" fillId="4" borderId="11" xfId="0" applyFont="1" applyFill="1" applyBorder="1" applyAlignment="1">
      <alignment horizontal="justify" vertical="center"/>
    </xf>
    <xf numFmtId="0" fontId="18" fillId="0" borderId="10" xfId="0" applyFont="1" applyBorder="1" applyAlignment="1">
      <alignment horizontal="justify" vertical="center"/>
    </xf>
    <xf numFmtId="0" fontId="18" fillId="0" borderId="12" xfId="0" applyFont="1" applyBorder="1" applyAlignment="1">
      <alignment horizontal="justify" vertical="center"/>
    </xf>
    <xf numFmtId="0" fontId="16" fillId="0" borderId="11" xfId="0" applyFont="1" applyBorder="1" applyAlignment="1">
      <alignment horizontal="justify" vertical="center"/>
    </xf>
    <xf numFmtId="0" fontId="18" fillId="0" borderId="11" xfId="0" applyFont="1" applyBorder="1" applyAlignment="1">
      <alignment horizontal="justify" vertical="center"/>
    </xf>
    <xf numFmtId="0" fontId="16" fillId="0" borderId="12" xfId="0" applyFont="1" applyBorder="1" applyAlignment="1">
      <alignment horizontal="justify" vertical="center"/>
    </xf>
    <xf numFmtId="0" fontId="18" fillId="4" borderId="10" xfId="0" applyFont="1" applyFill="1" applyBorder="1" applyAlignment="1">
      <alignment vertical="center"/>
    </xf>
    <xf numFmtId="0" fontId="18" fillId="4" borderId="11" xfId="0" applyFont="1" applyFill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8" fillId="4" borderId="13" xfId="0" applyFont="1" applyFill="1" applyBorder="1" applyAlignment="1">
      <alignment vertical="center"/>
    </xf>
    <xf numFmtId="0" fontId="18" fillId="4" borderId="14" xfId="0" applyFont="1" applyFill="1" applyBorder="1" applyAlignment="1">
      <alignment vertical="center"/>
    </xf>
    <xf numFmtId="0" fontId="18" fillId="4" borderId="15" xfId="0" applyFont="1" applyFill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7" fillId="4" borderId="11" xfId="0" applyFont="1" applyFill="1" applyBorder="1" applyAlignment="1">
      <alignment horizontal="justify" vertical="center"/>
    </xf>
    <xf numFmtId="0" fontId="18" fillId="4" borderId="11" xfId="0" applyFont="1" applyFill="1" applyBorder="1" applyAlignment="1">
      <alignment horizontal="justify" vertical="center"/>
    </xf>
    <xf numFmtId="0" fontId="19" fillId="0" borderId="10" xfId="0" applyFont="1" applyBorder="1" applyAlignment="1">
      <alignment horizontal="justify" vertical="center"/>
    </xf>
    <xf numFmtId="1" fontId="0" fillId="0" borderId="6" xfId="0" applyNumberFormat="1" applyBorder="1" applyAlignment="1">
      <alignment horizontal="center" vertical="center"/>
    </xf>
    <xf numFmtId="184" fontId="0" fillId="0" borderId="6" xfId="0" applyNumberFormat="1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89" fontId="0" fillId="0" borderId="6" xfId="0" applyNumberFormat="1" applyBorder="1" applyAlignment="1">
      <alignment horizontal="center" vertical="center"/>
    </xf>
    <xf numFmtId="183" fontId="0" fillId="5" borderId="6" xfId="0" applyNumberFormat="1" applyFill="1" applyBorder="1" applyAlignment="1">
      <alignment horizontal="center" vertical="center"/>
    </xf>
    <xf numFmtId="182" fontId="0" fillId="0" borderId="6" xfId="0" applyNumberForma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10" fontId="0" fillId="5" borderId="6" xfId="4" applyNumberFormat="1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78" fontId="15" fillId="0" borderId="6" xfId="0" applyNumberFormat="1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2" fontId="28" fillId="0" borderId="6" xfId="0" applyNumberFormat="1" applyFont="1" applyBorder="1" applyAlignment="1">
      <alignment horizontal="center" vertical="center"/>
    </xf>
    <xf numFmtId="177" fontId="28" fillId="0" borderId="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9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2" fontId="0" fillId="0" borderId="29" xfId="0" applyNumberFormat="1" applyBorder="1" applyAlignment="1">
      <alignment horizontal="center" vertical="center" wrapText="1"/>
    </xf>
    <xf numFmtId="0" fontId="6" fillId="6" borderId="34" xfId="0" applyFont="1" applyFill="1" applyBorder="1" applyAlignment="1">
      <alignment horizontal="center" vertical="center"/>
    </xf>
    <xf numFmtId="0" fontId="10" fillId="6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0" fontId="6" fillId="6" borderId="3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180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180" fontId="0" fillId="0" borderId="9" xfId="0" applyNumberFormat="1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177" fontId="0" fillId="0" borderId="9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2" fontId="0" fillId="0" borderId="35" xfId="0" applyNumberFormat="1" applyBorder="1" applyAlignment="1">
      <alignment horizontal="center"/>
    </xf>
    <xf numFmtId="182" fontId="28" fillId="0" borderId="6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vertical="center" wrapText="1"/>
    </xf>
    <xf numFmtId="10" fontId="28" fillId="0" borderId="6" xfId="4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 wrapText="1"/>
    </xf>
    <xf numFmtId="2" fontId="0" fillId="0" borderId="31" xfId="0" applyNumberFormat="1" applyBorder="1" applyAlignment="1">
      <alignment horizontal="center"/>
    </xf>
    <xf numFmtId="0" fontId="0" fillId="0" borderId="24" xfId="0" applyBorder="1" applyAlignment="1">
      <alignment horizontal="center" vertical="center"/>
    </xf>
    <xf numFmtId="180" fontId="0" fillId="0" borderId="25" xfId="0" applyNumberFormat="1" applyBorder="1" applyAlignment="1">
      <alignment horizontal="center" vertical="center"/>
    </xf>
    <xf numFmtId="177" fontId="0" fillId="0" borderId="25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37" fillId="7" borderId="6" xfId="0" applyFont="1" applyFill="1" applyBorder="1" applyAlignment="1">
      <alignment horizontal="center" vertical="center" wrapText="1"/>
    </xf>
    <xf numFmtId="0" fontId="36" fillId="7" borderId="6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6" borderId="35" xfId="0" applyFont="1" applyFill="1" applyBorder="1" applyAlignment="1">
      <alignment horizontal="center" vertical="center" wrapText="1"/>
    </xf>
    <xf numFmtId="0" fontId="41" fillId="6" borderId="43" xfId="0" applyFont="1" applyFill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/>
    </xf>
    <xf numFmtId="182" fontId="40" fillId="0" borderId="9" xfId="0" applyNumberFormat="1" applyFont="1" applyBorder="1" applyAlignment="1">
      <alignment horizontal="center" vertical="center"/>
    </xf>
    <xf numFmtId="2" fontId="40" fillId="0" borderId="9" xfId="0" applyNumberFormat="1" applyFont="1" applyBorder="1" applyAlignment="1">
      <alignment horizontal="center" vertical="center"/>
    </xf>
    <xf numFmtId="1" fontId="40" fillId="0" borderId="9" xfId="0" applyNumberFormat="1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0" fillId="0" borderId="6" xfId="0" applyFont="1" applyBorder="1" applyAlignment="1">
      <alignment horizontal="center" vertical="center"/>
    </xf>
    <xf numFmtId="2" fontId="40" fillId="0" borderId="6" xfId="0" applyNumberFormat="1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0" xfId="0" quotePrefix="1" applyFont="1" applyAlignment="1">
      <alignment horizontal="center" vertical="center"/>
    </xf>
    <xf numFmtId="0" fontId="35" fillId="6" borderId="0" xfId="0" applyFont="1" applyFill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79" fontId="0" fillId="0" borderId="29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191" fontId="0" fillId="0" borderId="6" xfId="0" applyNumberFormat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32" fillId="6" borderId="6" xfId="0" applyFont="1" applyFill="1" applyBorder="1" applyAlignment="1">
      <alignment horizontal="center" vertical="center" wrapText="1"/>
    </xf>
    <xf numFmtId="0" fontId="44" fillId="3" borderId="0" xfId="38" applyFont="1" applyFill="1" applyAlignment="1">
      <alignment horizontal="center" vertical="center" wrapText="1"/>
    </xf>
    <xf numFmtId="0" fontId="45" fillId="0" borderId="0" xfId="38" applyFont="1" applyAlignment="1">
      <alignment horizontal="left" vertical="center"/>
    </xf>
    <xf numFmtId="0" fontId="45" fillId="0" borderId="0" xfId="38" applyFont="1">
      <alignment vertical="center"/>
    </xf>
    <xf numFmtId="0" fontId="46" fillId="3" borderId="0" xfId="38" applyFont="1" applyFill="1" applyAlignment="1">
      <alignment horizontal="center" vertical="center" wrapText="1"/>
    </xf>
    <xf numFmtId="0" fontId="47" fillId="3" borderId="0" xfId="38" applyFont="1" applyFill="1" applyAlignment="1">
      <alignment horizontal="center" vertical="center" wrapText="1"/>
    </xf>
    <xf numFmtId="0" fontId="46" fillId="3" borderId="0" xfId="38" applyFont="1" applyFill="1" applyAlignment="1">
      <alignment horizontal="left" vertical="center" wrapText="1"/>
    </xf>
    <xf numFmtId="0" fontId="48" fillId="0" borderId="0" xfId="38" applyFont="1" applyAlignment="1">
      <alignment horizontal="left" vertical="center"/>
    </xf>
    <xf numFmtId="0" fontId="48" fillId="0" borderId="0" xfId="38" applyFont="1">
      <alignment vertical="center"/>
    </xf>
    <xf numFmtId="49" fontId="49" fillId="8" borderId="2" xfId="38" applyNumberFormat="1" applyFont="1" applyFill="1" applyBorder="1" applyAlignment="1">
      <alignment horizontal="center" vertical="center" wrapText="1"/>
    </xf>
    <xf numFmtId="49" fontId="51" fillId="8" borderId="1" xfId="38" applyNumberFormat="1" applyFont="1" applyFill="1" applyBorder="1" applyAlignment="1" applyProtection="1">
      <alignment horizontal="center" vertical="center" wrapText="1"/>
      <protection locked="0"/>
    </xf>
    <xf numFmtId="49" fontId="51" fillId="8" borderId="2" xfId="38" applyNumberFormat="1" applyFont="1" applyFill="1" applyBorder="1" applyAlignment="1" applyProtection="1">
      <alignment horizontal="center" vertical="center" wrapText="1"/>
      <protection locked="0"/>
    </xf>
    <xf numFmtId="49" fontId="51" fillId="8" borderId="2" xfId="39" applyNumberFormat="1" applyFont="1" applyFill="1" applyBorder="1" applyAlignment="1" applyProtection="1">
      <alignment horizontal="center" vertical="center" wrapText="1"/>
      <protection locked="0"/>
    </xf>
    <xf numFmtId="49" fontId="49" fillId="8" borderId="2" xfId="39" applyNumberFormat="1" applyFont="1" applyFill="1" applyBorder="1" applyAlignment="1" applyProtection="1">
      <alignment horizontal="center" vertical="center" wrapText="1"/>
      <protection locked="0"/>
    </xf>
    <xf numFmtId="49" fontId="52" fillId="8" borderId="2" xfId="39" applyNumberFormat="1" applyFont="1" applyFill="1" applyBorder="1" applyAlignment="1" applyProtection="1">
      <alignment horizontal="center" vertical="center" wrapText="1"/>
      <protection locked="0"/>
    </xf>
    <xf numFmtId="49" fontId="51" fillId="3" borderId="0" xfId="38" applyNumberFormat="1" applyFont="1" applyFill="1" applyAlignment="1" applyProtection="1">
      <alignment horizontal="center" vertical="center" wrapText="1"/>
      <protection locked="0"/>
    </xf>
    <xf numFmtId="0" fontId="53" fillId="3" borderId="2" xfId="38" quotePrefix="1" applyFont="1" applyFill="1" applyBorder="1" applyAlignment="1">
      <alignment horizontal="center" vertical="center" wrapText="1"/>
    </xf>
    <xf numFmtId="192" fontId="53" fillId="3" borderId="2" xfId="38" quotePrefix="1" applyNumberFormat="1" applyFont="1" applyFill="1" applyBorder="1" applyAlignment="1">
      <alignment horizontal="center" vertical="center" wrapText="1"/>
    </xf>
    <xf numFmtId="0" fontId="45" fillId="3" borderId="3" xfId="38" quotePrefix="1" applyFont="1" applyFill="1" applyBorder="1" applyAlignment="1" applyProtection="1">
      <alignment horizontal="center" vertical="center"/>
      <protection locked="0"/>
    </xf>
    <xf numFmtId="0" fontId="54" fillId="3" borderId="2" xfId="38" applyFont="1" applyFill="1" applyBorder="1" applyAlignment="1">
      <alignment horizontal="center" vertical="center" wrapText="1"/>
    </xf>
    <xf numFmtId="0" fontId="45" fillId="3" borderId="2" xfId="38" applyFont="1" applyFill="1" applyBorder="1" applyAlignment="1">
      <alignment horizontal="center" vertical="center" shrinkToFit="1"/>
    </xf>
    <xf numFmtId="0" fontId="54" fillId="0" borderId="0" xfId="38" applyFont="1" applyAlignment="1">
      <alignment horizontal="center" vertical="center" wrapText="1"/>
    </xf>
    <xf numFmtId="176" fontId="54" fillId="0" borderId="0" xfId="38" applyNumberFormat="1" applyFont="1" applyAlignment="1">
      <alignment horizontal="center" vertical="center" wrapText="1"/>
    </xf>
    <xf numFmtId="0" fontId="45" fillId="0" borderId="0" xfId="38" applyFont="1" applyAlignment="1">
      <alignment horizontal="center" vertical="center"/>
    </xf>
    <xf numFmtId="0" fontId="54" fillId="3" borderId="0" xfId="38" applyFont="1" applyFill="1" applyAlignment="1">
      <alignment horizontal="center" vertical="center" wrapText="1"/>
    </xf>
    <xf numFmtId="0" fontId="56" fillId="3" borderId="0" xfId="38" applyFont="1" applyFill="1" applyAlignment="1">
      <alignment horizontal="center" vertical="center" wrapText="1"/>
    </xf>
    <xf numFmtId="41" fontId="56" fillId="3" borderId="0" xfId="39" applyFont="1" applyFill="1" applyBorder="1" applyAlignment="1">
      <alignment horizontal="center" vertical="center" wrapText="1"/>
    </xf>
    <xf numFmtId="41" fontId="54" fillId="3" borderId="0" xfId="39" applyFont="1" applyFill="1" applyBorder="1" applyAlignment="1">
      <alignment horizontal="center" vertical="center" wrapText="1"/>
    </xf>
    <xf numFmtId="2" fontId="54" fillId="3" borderId="0" xfId="38" applyNumberFormat="1" applyFont="1" applyFill="1" applyAlignment="1">
      <alignment horizontal="center" vertical="center" wrapText="1"/>
    </xf>
    <xf numFmtId="0" fontId="54" fillId="3" borderId="0" xfId="38" applyFont="1" applyFill="1" applyAlignment="1">
      <alignment horizontal="left" vertical="center" wrapText="1"/>
    </xf>
    <xf numFmtId="0" fontId="41" fillId="6" borderId="6" xfId="0" applyFont="1" applyFill="1" applyBorder="1" applyAlignment="1">
      <alignment horizontal="center" vertical="center" wrapText="1"/>
    </xf>
    <xf numFmtId="0" fontId="40" fillId="2" borderId="6" xfId="0" applyFont="1" applyFill="1" applyBorder="1" applyAlignment="1">
      <alignment horizontal="center" vertical="center"/>
    </xf>
    <xf numFmtId="2" fontId="40" fillId="9" borderId="44" xfId="0" applyNumberFormat="1" applyFont="1" applyFill="1" applyBorder="1" applyAlignment="1">
      <alignment horizontal="center"/>
    </xf>
    <xf numFmtId="0" fontId="41" fillId="9" borderId="27" xfId="0" applyFont="1" applyFill="1" applyBorder="1" applyAlignment="1">
      <alignment horizontal="center"/>
    </xf>
    <xf numFmtId="2" fontId="40" fillId="9" borderId="9" xfId="3" applyNumberFormat="1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 wrapText="1"/>
    </xf>
    <xf numFmtId="1" fontId="28" fillId="0" borderId="6" xfId="0" applyNumberFormat="1" applyFont="1" applyBorder="1" applyAlignment="1">
      <alignment horizontal="center" vertical="center"/>
    </xf>
    <xf numFmtId="2" fontId="45" fillId="3" borderId="1" xfId="38" applyNumberFormat="1" applyFont="1" applyFill="1" applyBorder="1" applyAlignment="1">
      <alignment horizontal="center" vertical="center"/>
    </xf>
    <xf numFmtId="1" fontId="45" fillId="3" borderId="5" xfId="38" applyNumberFormat="1" applyFont="1" applyFill="1" applyBorder="1" applyAlignment="1">
      <alignment horizontal="center" vertical="center"/>
    </xf>
    <xf numFmtId="4" fontId="55" fillId="3" borderId="2" xfId="39" applyNumberFormat="1" applyFont="1" applyFill="1" applyBorder="1" applyAlignment="1" applyProtection="1">
      <alignment horizontal="center" vertical="center"/>
      <protection locked="0"/>
    </xf>
    <xf numFmtId="2" fontId="54" fillId="0" borderId="2" xfId="39" applyNumberFormat="1" applyFont="1" applyFill="1" applyBorder="1" applyAlignment="1">
      <alignment horizontal="center" vertical="center" wrapText="1"/>
    </xf>
    <xf numFmtId="4" fontId="53" fillId="3" borderId="2" xfId="39" applyNumberFormat="1" applyFont="1" applyFill="1" applyBorder="1" applyAlignment="1">
      <alignment horizontal="center" vertical="center" wrapText="1"/>
    </xf>
    <xf numFmtId="0" fontId="54" fillId="3" borderId="2" xfId="38" applyFont="1" applyFill="1" applyBorder="1" applyAlignment="1">
      <alignment horizontal="center" vertical="center" shrinkToFit="1"/>
    </xf>
    <xf numFmtId="0" fontId="6" fillId="6" borderId="6" xfId="0" applyFont="1" applyFill="1" applyBorder="1" applyAlignment="1">
      <alignment horizontal="center" vertical="center" wrapText="1"/>
    </xf>
    <xf numFmtId="0" fontId="34" fillId="6" borderId="6" xfId="0" applyFont="1" applyFill="1" applyBorder="1" applyAlignment="1">
      <alignment horizontal="center" vertical="center" wrapText="1"/>
    </xf>
    <xf numFmtId="0" fontId="59" fillId="6" borderId="35" xfId="0" applyFont="1" applyFill="1" applyBorder="1" applyAlignment="1">
      <alignment horizontal="center" vertical="center" wrapText="1"/>
    </xf>
    <xf numFmtId="4" fontId="60" fillId="3" borderId="2" xfId="39" applyNumberFormat="1" applyFont="1" applyFill="1" applyBorder="1" applyAlignment="1" applyProtection="1">
      <alignment horizontal="center" vertical="center"/>
      <protection locked="0"/>
    </xf>
    <xf numFmtId="1" fontId="45" fillId="3" borderId="1" xfId="38" applyNumberFormat="1" applyFont="1" applyFill="1" applyBorder="1" applyAlignment="1">
      <alignment horizontal="center" vertical="center" wrapText="1"/>
    </xf>
    <xf numFmtId="4" fontId="45" fillId="3" borderId="2" xfId="39" applyNumberFormat="1" applyFont="1" applyFill="1" applyBorder="1" applyAlignment="1">
      <alignment horizontal="center" vertical="center" wrapText="1"/>
    </xf>
    <xf numFmtId="0" fontId="60" fillId="3" borderId="2" xfId="38" applyFont="1" applyFill="1" applyBorder="1" applyAlignment="1">
      <alignment horizontal="center" vertical="center" wrapText="1"/>
    </xf>
    <xf numFmtId="2" fontId="60" fillId="0" borderId="2" xfId="39" applyNumberFormat="1" applyFont="1" applyFill="1" applyBorder="1" applyAlignment="1" applyProtection="1">
      <alignment horizontal="center" vertical="center"/>
      <protection locked="0"/>
    </xf>
    <xf numFmtId="182" fontId="26" fillId="0" borderId="6" xfId="0" applyNumberFormat="1" applyFont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 wrapText="1"/>
    </xf>
    <xf numFmtId="0" fontId="6" fillId="6" borderId="35" xfId="0" applyFont="1" applyFill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42" fillId="3" borderId="0" xfId="38" applyFont="1" applyFill="1" applyAlignment="1">
      <alignment horizontal="center" vertical="center" wrapText="1"/>
    </xf>
    <xf numFmtId="49" fontId="51" fillId="8" borderId="5" xfId="38" applyNumberFormat="1" applyFont="1" applyFill="1" applyBorder="1" applyAlignment="1" applyProtection="1">
      <alignment horizontal="center" vertical="center" wrapText="1"/>
      <protection locked="0"/>
    </xf>
    <xf numFmtId="49" fontId="51" fillId="8" borderId="3" xfId="38" applyNumberFormat="1" applyFont="1" applyFill="1" applyBorder="1" applyAlignment="1" applyProtection="1">
      <alignment horizontal="center" vertical="center" wrapText="1"/>
      <protection locked="0"/>
    </xf>
    <xf numFmtId="49" fontId="51" fillId="8" borderId="1" xfId="38" applyNumberFormat="1" applyFont="1" applyFill="1" applyBorder="1" applyAlignment="1" applyProtection="1">
      <alignment horizontal="center" vertical="center" wrapText="1"/>
      <protection locked="0"/>
    </xf>
    <xf numFmtId="0" fontId="37" fillId="7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9" fillId="0" borderId="48" xfId="0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32" fillId="6" borderId="6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6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8" fontId="34" fillId="6" borderId="6" xfId="0" applyNumberFormat="1" applyFont="1" applyFill="1" applyBorder="1" applyAlignment="1">
      <alignment horizontal="center" vertical="center" wrapText="1"/>
    </xf>
    <xf numFmtId="0" fontId="33" fillId="6" borderId="48" xfId="0" applyFont="1" applyFill="1" applyBorder="1" applyAlignment="1">
      <alignment horizontal="center" vertical="center" wrapText="1"/>
    </xf>
    <xf numFmtId="0" fontId="33" fillId="6" borderId="49" xfId="0" applyFont="1" applyFill="1" applyBorder="1" applyAlignment="1">
      <alignment horizontal="center" vertical="center" wrapText="1"/>
    </xf>
    <xf numFmtId="0" fontId="33" fillId="6" borderId="50" xfId="0" applyFont="1" applyFill="1" applyBorder="1" applyAlignment="1">
      <alignment horizontal="center" vertical="center" wrapText="1"/>
    </xf>
    <xf numFmtId="0" fontId="33" fillId="6" borderId="44" xfId="0" applyFont="1" applyFill="1" applyBorder="1" applyAlignment="1">
      <alignment horizontal="center" vertical="center" wrapText="1"/>
    </xf>
    <xf numFmtId="0" fontId="33" fillId="6" borderId="42" xfId="0" applyFont="1" applyFill="1" applyBorder="1" applyAlignment="1">
      <alignment horizontal="center" vertical="center" wrapText="1"/>
    </xf>
    <xf numFmtId="0" fontId="33" fillId="6" borderId="45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</cellXfs>
  <cellStyles count="40">
    <cellStyle name="Comma [0]_ SG&amp;A Bridge " xfId="5" xr:uid="{00000000-0005-0000-0000-000033000000}"/>
    <cellStyle name="Comma_ SG&amp;A Bridge " xfId="6" xr:uid="{00000000-0005-0000-0000-000034000000}"/>
    <cellStyle name="Currency [0]_ SG&amp;A Bridge " xfId="7" xr:uid="{00000000-0005-0000-0000-000035000000}"/>
    <cellStyle name="Currency_ SG&amp;A Bridge " xfId="8" xr:uid="{00000000-0005-0000-0000-000036000000}"/>
    <cellStyle name="Normal_ SG&amp;A Bridge " xfId="9" xr:uid="{00000000-0005-0000-0000-000037000000}"/>
    <cellStyle name="백분율" xfId="4" builtinId="5"/>
    <cellStyle name="백분율 2" xfId="11" xr:uid="{00000000-0005-0000-0000-000039000000}"/>
    <cellStyle name="백분율 3" xfId="10" xr:uid="{00000000-0005-0000-0000-000038000000}"/>
    <cellStyle name="뷭?_BOOKSHIP" xfId="12" xr:uid="{00000000-0005-0000-0000-00003A000000}"/>
    <cellStyle name="쉼표 [0]" xfId="3" builtinId="6"/>
    <cellStyle name="쉼표 [0] 2" xfId="2" xr:uid="{5E1934EA-F26F-4E6D-98C0-576A97A368A0}"/>
    <cellStyle name="쉼표 [0] 2 2" xfId="14" xr:uid="{00000000-0005-0000-0000-00003C000000}"/>
    <cellStyle name="쉼표 [0] 3" xfId="13" xr:uid="{00000000-0005-0000-0000-00003B000000}"/>
    <cellStyle name="쉼표 [0] 4" xfId="39" xr:uid="{A6BAD70D-0456-425F-B06D-2E500BC1905C}"/>
    <cellStyle name="콤마 [0]_1202" xfId="15" xr:uid="{00000000-0005-0000-0000-00003D000000}"/>
    <cellStyle name="콤마_1202" xfId="16" xr:uid="{00000000-0005-0000-0000-00003E000000}"/>
    <cellStyle name="표준" xfId="0" builtinId="0"/>
    <cellStyle name="표준 2" xfId="17" xr:uid="{00000000-0005-0000-0000-00003F000000}"/>
    <cellStyle name="표준 2 2" xfId="20" xr:uid="{06D9B59F-2FD0-45BF-A412-078BC26F3C5D}"/>
    <cellStyle name="표준 2 3" xfId="29" xr:uid="{F0448A02-3C95-4939-A954-95ACB3593C40}"/>
    <cellStyle name="표준 3" xfId="1" xr:uid="{11F9DB60-D75C-480B-B46D-4B0A9E6FF6A6}"/>
    <cellStyle name="표준 32" xfId="21" xr:uid="{023B8A03-9D76-4559-A2DD-0F9BC8A037B5}"/>
    <cellStyle name="표준 33" xfId="22" xr:uid="{13CD3758-EFAC-4780-9F83-EB4891C27BDC}"/>
    <cellStyle name="표준 35" xfId="23" xr:uid="{5E454B9B-2576-4392-A461-B1C9AE76A097}"/>
    <cellStyle name="표준 39" xfId="24" xr:uid="{E6A2CF94-D0D4-4EA3-B382-124046288A62}"/>
    <cellStyle name="표준 4" xfId="18" xr:uid="{195AC604-E012-43DB-B488-712A0D9D4D59}"/>
    <cellStyle name="표준 40" xfId="25" xr:uid="{AAB5C183-ABDA-41C1-A1D5-F2FE328F7053}"/>
    <cellStyle name="표준 41" xfId="26" xr:uid="{0A6AC120-1696-4BA9-9641-8BE2DB0BFC5C}"/>
    <cellStyle name="표준 45" xfId="27" xr:uid="{32E7A638-2E15-4523-A49D-D4389BE12D3E}"/>
    <cellStyle name="표준 46" xfId="28" xr:uid="{CF5C714E-E98C-411E-BEB8-6B11DE3AEF3E}"/>
    <cellStyle name="표준 5" xfId="19" xr:uid="{39C4688B-4F35-4830-A686-404C52A098AB}"/>
    <cellStyle name="표준 50" xfId="30" xr:uid="{B915B4B3-8AA0-4F7C-A9B9-ECC47D11D224}"/>
    <cellStyle name="표준 51" xfId="31" xr:uid="{BE1D33BF-40EF-4273-A6C3-F2968E8A9772}"/>
    <cellStyle name="표준 55" xfId="32" xr:uid="{589BA7D2-FAD6-4EDC-BB0D-C6439CF1C113}"/>
    <cellStyle name="표준 56" xfId="33" xr:uid="{3148370D-34C7-435F-B77B-A17C431C6A01}"/>
    <cellStyle name="표준 6" xfId="38" xr:uid="{5BE1CA8B-AC7D-4136-BE27-4F7393DACDC4}"/>
    <cellStyle name="표준 62" xfId="34" xr:uid="{9C80208A-AFB1-4CE5-8A2B-BD27C52BA014}"/>
    <cellStyle name="표준 63" xfId="35" xr:uid="{6F44F45F-1A37-4345-9CB8-E2F616B9C3E7}"/>
    <cellStyle name="표준 67" xfId="36" xr:uid="{CBB93314-4CFD-4F22-A92E-E24D1FC80AC3}"/>
    <cellStyle name="표준 68" xfId="37" xr:uid="{77F78B56-287F-4BAE-8ACA-4771A3EAF700}"/>
  </cellStyles>
  <dxfs count="0"/>
  <tableStyles count="0" defaultTableStyle="TableStyleMedium2" defaultPivotStyle="PivotStyleLight16"/>
  <colors>
    <mruColors>
      <color rgb="FF0000FF"/>
      <color rgb="FFFFF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781050</xdr:colOff>
      <xdr:row>12</xdr:row>
      <xdr:rowOff>47625</xdr:rowOff>
    </xdr:from>
    <xdr:to>
      <xdr:col>1</xdr:col>
      <xdr:colOff>914400</xdr:colOff>
      <xdr:row>13</xdr:row>
      <xdr:rowOff>0</xdr:rowOff>
    </xdr:to>
    <xdr:pic>
      <xdr:nvPicPr>
        <xdr:cNvPr id="24" name="_x217313992" descr="DRW00003ac82a11">
          <a:extLst>
            <a:ext uri="{FF2B5EF4-FFF2-40B4-BE49-F238E27FC236}">
              <a16:creationId xmlns:a16="http://schemas.microsoft.com/office/drawing/2014/main" id="{FAC3C96E-3889-4989-BFF3-32A216817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2314575"/>
          <a:ext cx="1333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133350</xdr:colOff>
      <xdr:row>15</xdr:row>
      <xdr:rowOff>142875</xdr:rowOff>
    </xdr:to>
    <xdr:pic>
      <xdr:nvPicPr>
        <xdr:cNvPr id="25" name="_x217317088" descr="DRW00003ac82a13">
          <a:extLst>
            <a:ext uri="{FF2B5EF4-FFF2-40B4-BE49-F238E27FC236}">
              <a16:creationId xmlns:a16="http://schemas.microsoft.com/office/drawing/2014/main" id="{35484EC7-B4E3-4406-AFF6-343C9505A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486775"/>
          <a:ext cx="1333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91B1-FCA4-42A0-A041-DC2E2CADD6D4}">
  <dimension ref="B4:G57"/>
  <sheetViews>
    <sheetView topLeftCell="A4" workbookViewId="0">
      <selection activeCell="B40" sqref="B40"/>
    </sheetView>
  </sheetViews>
  <sheetFormatPr defaultRowHeight="13.5"/>
  <cols>
    <col min="1" max="1" width="8.88671875" style="7"/>
    <col min="2" max="2" width="47.44140625" style="7" bestFit="1" customWidth="1"/>
    <col min="3" max="3" width="60" style="7" customWidth="1"/>
    <col min="4" max="4" width="18.6640625" style="7" bestFit="1" customWidth="1"/>
    <col min="5" max="5" width="22.21875" style="7" bestFit="1" customWidth="1"/>
    <col min="6" max="16384" width="8.88671875" style="7"/>
  </cols>
  <sheetData>
    <row r="4" spans="2:7" ht="24">
      <c r="B4" s="12" t="s">
        <v>43</v>
      </c>
      <c r="C4" s="10">
        <v>1800</v>
      </c>
      <c r="D4" s="13"/>
      <c r="E4" s="10"/>
      <c r="F4" s="10"/>
      <c r="G4" s="11"/>
    </row>
    <row r="6" spans="2:7">
      <c r="B6" s="7" t="s">
        <v>64</v>
      </c>
    </row>
    <row r="7" spans="2:7" ht="14.25">
      <c r="B7" s="23" t="s">
        <v>65</v>
      </c>
      <c r="C7" s="37" t="s">
        <v>67</v>
      </c>
      <c r="D7" s="38"/>
      <c r="E7" s="39"/>
    </row>
    <row r="8" spans="2:7" ht="14.25">
      <c r="B8" s="24" t="s">
        <v>66</v>
      </c>
      <c r="C8" s="32" t="s">
        <v>68</v>
      </c>
      <c r="D8" s="32" t="s">
        <v>69</v>
      </c>
      <c r="E8" s="32" t="s">
        <v>70</v>
      </c>
    </row>
    <row r="9" spans="2:7" ht="15">
      <c r="B9" s="25"/>
      <c r="C9" s="33"/>
      <c r="D9" s="46" t="s">
        <v>84</v>
      </c>
      <c r="E9" s="46" t="s">
        <v>83</v>
      </c>
    </row>
    <row r="10" spans="2:7" ht="15">
      <c r="B10" s="25"/>
      <c r="C10" s="33"/>
      <c r="D10" s="47" t="s">
        <v>86</v>
      </c>
      <c r="E10" s="26" t="s">
        <v>85</v>
      </c>
    </row>
    <row r="11" spans="2:7" ht="14.25">
      <c r="B11" s="27" t="s">
        <v>71</v>
      </c>
      <c r="C11" s="40" t="s">
        <v>73</v>
      </c>
      <c r="D11" s="41"/>
      <c r="E11" s="42"/>
    </row>
    <row r="12" spans="2:7" ht="14.25">
      <c r="B12" s="28" t="s">
        <v>72</v>
      </c>
      <c r="C12" s="43"/>
      <c r="D12" s="44"/>
      <c r="E12" s="45"/>
    </row>
    <row r="13" spans="2:7" ht="15">
      <c r="B13" s="48" t="s">
        <v>87</v>
      </c>
      <c r="C13" s="34">
        <v>3.5</v>
      </c>
      <c r="D13" s="34">
        <v>14</v>
      </c>
      <c r="E13" s="34">
        <v>28</v>
      </c>
    </row>
    <row r="14" spans="2:7" ht="14.25">
      <c r="B14" s="28" t="s">
        <v>76</v>
      </c>
      <c r="C14" s="36"/>
      <c r="D14" s="36"/>
      <c r="E14" s="36"/>
    </row>
    <row r="15" spans="2:7" ht="14.25">
      <c r="B15" s="27" t="s">
        <v>74</v>
      </c>
      <c r="C15" s="34">
        <v>7</v>
      </c>
      <c r="D15" s="34">
        <v>28</v>
      </c>
      <c r="E15" s="34">
        <v>70</v>
      </c>
    </row>
    <row r="16" spans="2:7" ht="14.25">
      <c r="B16" s="29" t="s">
        <v>75</v>
      </c>
      <c r="C16" s="35"/>
      <c r="D16" s="35"/>
      <c r="E16" s="35"/>
    </row>
    <row r="17" spans="2:5" ht="14.25">
      <c r="B17" s="30" t="s">
        <v>77</v>
      </c>
      <c r="C17" s="35"/>
      <c r="D17" s="35"/>
      <c r="E17" s="35"/>
    </row>
    <row r="18" spans="2:5" ht="14.25">
      <c r="B18" s="30" t="s">
        <v>78</v>
      </c>
      <c r="C18" s="35"/>
      <c r="D18" s="35"/>
      <c r="E18" s="35"/>
    </row>
    <row r="19" spans="2:5" ht="14.25">
      <c r="B19" s="31" t="s">
        <v>79</v>
      </c>
      <c r="C19" s="36"/>
      <c r="D19" s="36"/>
      <c r="E19" s="36"/>
    </row>
    <row r="20" spans="2:5" ht="14.25">
      <c r="B20" s="27" t="s">
        <v>80</v>
      </c>
      <c r="C20" s="34">
        <v>14</v>
      </c>
      <c r="D20" s="34">
        <v>70</v>
      </c>
      <c r="E20" s="34">
        <v>140</v>
      </c>
    </row>
    <row r="21" spans="2:5" ht="14.25">
      <c r="B21" s="30" t="s">
        <v>81</v>
      </c>
      <c r="C21" s="35"/>
      <c r="D21" s="35"/>
      <c r="E21" s="35"/>
    </row>
    <row r="22" spans="2:5" ht="14.25">
      <c r="B22" s="31" t="s">
        <v>82</v>
      </c>
      <c r="C22" s="36"/>
      <c r="D22" s="36"/>
      <c r="E22" s="36"/>
    </row>
    <row r="28" spans="2:5">
      <c r="B28" s="7" t="s">
        <v>137</v>
      </c>
    </row>
    <row r="29" spans="2:5">
      <c r="B29" s="7" t="s">
        <v>138</v>
      </c>
    </row>
    <row r="30" spans="2:5">
      <c r="B30" s="7" t="s">
        <v>109</v>
      </c>
    </row>
    <row r="31" spans="2:5">
      <c r="B31" s="7" t="s">
        <v>110</v>
      </c>
    </row>
    <row r="32" spans="2:5">
      <c r="B32" s="7" t="s">
        <v>111</v>
      </c>
    </row>
    <row r="33" spans="2:2">
      <c r="B33" s="7" t="s">
        <v>112</v>
      </c>
    </row>
    <row r="34" spans="2:2">
      <c r="B34" s="7" t="s">
        <v>113</v>
      </c>
    </row>
    <row r="35" spans="2:2">
      <c r="B35" s="7" t="s">
        <v>114</v>
      </c>
    </row>
    <row r="36" spans="2:2">
      <c r="B36" s="7" t="s">
        <v>115</v>
      </c>
    </row>
    <row r="37" spans="2:2">
      <c r="B37" s="7" t="s">
        <v>116</v>
      </c>
    </row>
    <row r="38" spans="2:2">
      <c r="B38" s="7" t="s">
        <v>117</v>
      </c>
    </row>
    <row r="39" spans="2:2">
      <c r="B39" s="7" t="s">
        <v>118</v>
      </c>
    </row>
    <row r="40" spans="2:2">
      <c r="B40" s="7" t="s">
        <v>119</v>
      </c>
    </row>
    <row r="41" spans="2:2">
      <c r="B41" s="7" t="s">
        <v>120</v>
      </c>
    </row>
    <row r="42" spans="2:2">
      <c r="B42" s="7" t="s">
        <v>121</v>
      </c>
    </row>
    <row r="43" spans="2:2">
      <c r="B43" s="7" t="s">
        <v>122</v>
      </c>
    </row>
    <row r="44" spans="2:2">
      <c r="B44" s="7" t="s">
        <v>123</v>
      </c>
    </row>
    <row r="45" spans="2:2">
      <c r="B45" s="7" t="s">
        <v>124</v>
      </c>
    </row>
    <row r="46" spans="2:2">
      <c r="B46" s="7" t="s">
        <v>125</v>
      </c>
    </row>
    <row r="47" spans="2:2">
      <c r="B47" s="7" t="s">
        <v>126</v>
      </c>
    </row>
    <row r="48" spans="2:2">
      <c r="B48" s="7" t="s">
        <v>127</v>
      </c>
    </row>
    <row r="49" spans="2:2">
      <c r="B49" s="7" t="s">
        <v>128</v>
      </c>
    </row>
    <row r="50" spans="2:2">
      <c r="B50" s="7" t="s">
        <v>129</v>
      </c>
    </row>
    <row r="51" spans="2:2">
      <c r="B51" s="7" t="s">
        <v>130</v>
      </c>
    </row>
    <row r="52" spans="2:2">
      <c r="B52" s="7" t="s">
        <v>131</v>
      </c>
    </row>
    <row r="53" spans="2:2">
      <c r="B53" s="7" t="s">
        <v>132</v>
      </c>
    </row>
    <row r="54" spans="2:2">
      <c r="B54" s="7" t="s">
        <v>133</v>
      </c>
    </row>
    <row r="55" spans="2:2">
      <c r="B55" s="7" t="s">
        <v>134</v>
      </c>
    </row>
    <row r="56" spans="2:2">
      <c r="B56" s="7" t="s">
        <v>135</v>
      </c>
    </row>
    <row r="57" spans="2:2">
      <c r="B57" s="7" t="s">
        <v>136</v>
      </c>
    </row>
  </sheetData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74A0-F40B-44B7-86BF-C397D7923F16}">
  <dimension ref="B1:N67"/>
  <sheetViews>
    <sheetView view="pageBreakPreview" zoomScaleNormal="115" zoomScaleSheetLayoutView="100" workbookViewId="0">
      <selection activeCell="L34" sqref="L34"/>
    </sheetView>
  </sheetViews>
  <sheetFormatPr defaultRowHeight="13.5"/>
  <cols>
    <col min="2" max="2" width="4" hidden="1" customWidth="1"/>
    <col min="3" max="3" width="6.44140625" bestFit="1" customWidth="1"/>
    <col min="4" max="4" width="4" bestFit="1" customWidth="1"/>
    <col min="5" max="5" width="2.5546875" bestFit="1" customWidth="1"/>
    <col min="6" max="6" width="5.44140625" bestFit="1" customWidth="1"/>
    <col min="7" max="7" width="7" bestFit="1" customWidth="1"/>
    <col min="8" max="9" width="7.6640625" bestFit="1" customWidth="1"/>
    <col min="10" max="10" width="9.5546875" bestFit="1" customWidth="1"/>
    <col min="11" max="11" width="14.77734375" style="81" bestFit="1" customWidth="1"/>
    <col min="12" max="12" width="9.5546875" bestFit="1" customWidth="1"/>
    <col min="13" max="13" width="11.5546875" bestFit="1" customWidth="1"/>
    <col min="14" max="14" width="9.5546875" bestFit="1" customWidth="1"/>
  </cols>
  <sheetData>
    <row r="1" spans="2:14" ht="29.25" customHeight="1" thickBot="1">
      <c r="C1" s="200" t="s">
        <v>154</v>
      </c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</row>
    <row r="2" spans="2:14" ht="27.75" thickBot="1">
      <c r="B2" s="74"/>
      <c r="C2" s="85" t="s">
        <v>0</v>
      </c>
      <c r="D2" s="198" t="s">
        <v>146</v>
      </c>
      <c r="E2" s="199"/>
      <c r="F2" s="199"/>
      <c r="G2" s="86" t="s">
        <v>148</v>
      </c>
      <c r="H2" s="86" t="s">
        <v>147</v>
      </c>
      <c r="I2" s="86" t="s">
        <v>149</v>
      </c>
      <c r="J2" s="86" t="s">
        <v>150</v>
      </c>
      <c r="K2" s="86" t="s">
        <v>151</v>
      </c>
      <c r="L2" s="86" t="s">
        <v>152</v>
      </c>
      <c r="M2" s="86" t="s">
        <v>153</v>
      </c>
      <c r="N2" s="87" t="s">
        <v>155</v>
      </c>
    </row>
    <row r="3" spans="2:14">
      <c r="B3" s="75">
        <v>1</v>
      </c>
      <c r="C3" s="78" t="s">
        <v>2</v>
      </c>
      <c r="D3" s="72">
        <v>0</v>
      </c>
      <c r="E3" s="72" t="s">
        <v>3</v>
      </c>
      <c r="F3" s="72">
        <v>37.1</v>
      </c>
      <c r="G3" s="21">
        <v>1500</v>
      </c>
      <c r="H3" s="21">
        <v>12.7</v>
      </c>
      <c r="I3" s="73" t="e">
        <f>#REF!-#REF!-#REF!/1000</f>
        <v>#REF!</v>
      </c>
      <c r="J3" s="73" t="e">
        <f>(VLOOKUP(B3,#REF!,14))</f>
        <v>#REF!</v>
      </c>
      <c r="K3" s="82" t="e">
        <f>(VLOOKUP(B3,#REF!,15))</f>
        <v>#REF!</v>
      </c>
      <c r="L3" s="73" t="e">
        <f>(VLOOKUP(B3,#REF!,8))</f>
        <v>#REF!</v>
      </c>
      <c r="M3" s="73" t="e">
        <f>K3-L3</f>
        <v>#REF!</v>
      </c>
      <c r="N3" s="88" t="e">
        <f>#REF!/86400</f>
        <v>#REF!</v>
      </c>
    </row>
    <row r="4" spans="2:14">
      <c r="B4" s="76">
        <v>2</v>
      </c>
      <c r="C4" s="79" t="s">
        <v>2</v>
      </c>
      <c r="D4" s="2">
        <v>9</v>
      </c>
      <c r="E4" s="2" t="s">
        <v>3</v>
      </c>
      <c r="F4" s="2">
        <v>5.81</v>
      </c>
      <c r="G4" s="8">
        <v>1500</v>
      </c>
      <c r="H4" s="8">
        <v>12.7</v>
      </c>
      <c r="I4" s="4" t="e">
        <f>#REF!-#REF!-#REF!/1000</f>
        <v>#REF!</v>
      </c>
      <c r="J4" s="4" t="e">
        <f>(VLOOKUP(B4,#REF!,14))</f>
        <v>#REF!</v>
      </c>
      <c r="K4" s="83" t="e">
        <f>(VLOOKUP(B4,#REF!,15))</f>
        <v>#REF!</v>
      </c>
      <c r="L4" s="4" t="e">
        <f>(VLOOKUP(B4,#REF!,8))</f>
        <v>#REF!</v>
      </c>
      <c r="M4" s="4" t="e">
        <f t="shared" ref="M4:M64" si="0">K4-L4</f>
        <v>#REF!</v>
      </c>
      <c r="N4" s="89" t="e">
        <f>#REF!/86400</f>
        <v>#REF!</v>
      </c>
    </row>
    <row r="5" spans="2:14">
      <c r="B5" s="76">
        <v>3</v>
      </c>
      <c r="C5" s="79" t="s">
        <v>2</v>
      </c>
      <c r="D5" s="2">
        <v>11</v>
      </c>
      <c r="E5" s="2" t="s">
        <v>3</v>
      </c>
      <c r="F5" s="2">
        <v>0</v>
      </c>
      <c r="G5" s="8">
        <v>1500</v>
      </c>
      <c r="H5" s="8">
        <v>12.7</v>
      </c>
      <c r="I5" s="4" t="e">
        <f>#REF!-#REF!-#REF!/1000</f>
        <v>#REF!</v>
      </c>
      <c r="J5" s="4" t="e">
        <f>(VLOOKUP(B5,#REF!,14))</f>
        <v>#REF!</v>
      </c>
      <c r="K5" s="83" t="e">
        <f>(VLOOKUP(B5,#REF!,15))</f>
        <v>#REF!</v>
      </c>
      <c r="L5" s="4" t="e">
        <f>(VLOOKUP(B5,#REF!,8))</f>
        <v>#REF!</v>
      </c>
      <c r="M5" s="4" t="e">
        <f t="shared" si="0"/>
        <v>#REF!</v>
      </c>
      <c r="N5" s="89" t="e">
        <f>#REF!/86400</f>
        <v>#REF!</v>
      </c>
    </row>
    <row r="6" spans="2:14">
      <c r="B6" s="76">
        <v>4</v>
      </c>
      <c r="C6" s="79" t="s">
        <v>4</v>
      </c>
      <c r="D6" s="2">
        <v>22</v>
      </c>
      <c r="E6" s="2" t="s">
        <v>3</v>
      </c>
      <c r="F6" s="2">
        <v>9.3000000000000007</v>
      </c>
      <c r="G6" s="8">
        <v>1500</v>
      </c>
      <c r="H6" s="8">
        <v>12.7</v>
      </c>
      <c r="I6" s="4" t="e">
        <f>#REF!-#REF!-#REF!/1000</f>
        <v>#REF!</v>
      </c>
      <c r="J6" s="4" t="e">
        <f>(VLOOKUP(B6,#REF!,14))</f>
        <v>#REF!</v>
      </c>
      <c r="K6" s="83" t="e">
        <f>(VLOOKUP(B6,#REF!,15))</f>
        <v>#REF!</v>
      </c>
      <c r="L6" s="4" t="e">
        <f>(VLOOKUP(B6,#REF!,8))</f>
        <v>#REF!</v>
      </c>
      <c r="M6" s="4" t="e">
        <f t="shared" si="0"/>
        <v>#REF!</v>
      </c>
      <c r="N6" s="89" t="e">
        <f>#REF!/86400</f>
        <v>#REF!</v>
      </c>
    </row>
    <row r="7" spans="2:14">
      <c r="B7" s="76">
        <v>5</v>
      </c>
      <c r="C7" s="79" t="s">
        <v>4</v>
      </c>
      <c r="D7" s="2">
        <v>49</v>
      </c>
      <c r="E7" s="2" t="s">
        <v>3</v>
      </c>
      <c r="F7" s="2">
        <v>0</v>
      </c>
      <c r="G7" s="8">
        <v>1500</v>
      </c>
      <c r="H7" s="8">
        <v>12.7</v>
      </c>
      <c r="I7" s="4" t="e">
        <f>#REF!-#REF!-#REF!/1000</f>
        <v>#REF!</v>
      </c>
      <c r="J7" s="4" t="e">
        <f>(VLOOKUP(B7,#REF!,14))</f>
        <v>#REF!</v>
      </c>
      <c r="K7" s="83" t="e">
        <f>(VLOOKUP(B7,#REF!,15))</f>
        <v>#REF!</v>
      </c>
      <c r="L7" s="4" t="e">
        <f>(VLOOKUP(B7,#REF!,8))</f>
        <v>#REF!</v>
      </c>
      <c r="M7" s="4" t="e">
        <f t="shared" si="0"/>
        <v>#REF!</v>
      </c>
      <c r="N7" s="89" t="e">
        <f>#REF!/86400</f>
        <v>#REF!</v>
      </c>
    </row>
    <row r="8" spans="2:14">
      <c r="B8" s="76">
        <v>6</v>
      </c>
      <c r="C8" s="79" t="s">
        <v>5</v>
      </c>
      <c r="D8" s="2">
        <v>120</v>
      </c>
      <c r="E8" s="2" t="s">
        <v>3</v>
      </c>
      <c r="F8" s="2">
        <v>0</v>
      </c>
      <c r="G8" s="8">
        <v>1500</v>
      </c>
      <c r="H8" s="8">
        <v>12.7</v>
      </c>
      <c r="I8" s="4" t="e">
        <f>#REF!-#REF!-#REF!/1000</f>
        <v>#REF!</v>
      </c>
      <c r="J8" s="4" t="e">
        <f>(VLOOKUP(B8,#REF!,14))</f>
        <v>#REF!</v>
      </c>
      <c r="K8" s="83" t="e">
        <f>(VLOOKUP(B8,#REF!,15))</f>
        <v>#REF!</v>
      </c>
      <c r="L8" s="4" t="e">
        <f>(VLOOKUP(B8,#REF!,8))</f>
        <v>#REF!</v>
      </c>
      <c r="M8" s="4" t="e">
        <f t="shared" si="0"/>
        <v>#REF!</v>
      </c>
      <c r="N8" s="89" t="e">
        <f>#REF!/86400</f>
        <v>#REF!</v>
      </c>
    </row>
    <row r="9" spans="2:14">
      <c r="B9" s="76">
        <v>7</v>
      </c>
      <c r="C9" s="79" t="s">
        <v>5</v>
      </c>
      <c r="D9" s="2">
        <v>128</v>
      </c>
      <c r="E9" s="2" t="s">
        <v>3</v>
      </c>
      <c r="F9" s="2">
        <v>15</v>
      </c>
      <c r="G9" s="8">
        <v>1500</v>
      </c>
      <c r="H9" s="8">
        <v>12.7</v>
      </c>
      <c r="I9" s="4" t="e">
        <f>#REF!-#REF!-#REF!/1000</f>
        <v>#REF!</v>
      </c>
      <c r="J9" s="4" t="e">
        <f>(VLOOKUP(B9,#REF!,14))</f>
        <v>#REF!</v>
      </c>
      <c r="K9" s="83" t="e">
        <f>(VLOOKUP(B9,#REF!,15))</f>
        <v>#REF!</v>
      </c>
      <c r="L9" s="4" t="e">
        <f>(VLOOKUP(B9,#REF!,8))</f>
        <v>#REF!</v>
      </c>
      <c r="M9" s="4" t="e">
        <f t="shared" si="0"/>
        <v>#REF!</v>
      </c>
      <c r="N9" s="89" t="e">
        <f>#REF!/86400</f>
        <v>#REF!</v>
      </c>
    </row>
    <row r="10" spans="2:14">
      <c r="B10" s="76">
        <v>8</v>
      </c>
      <c r="C10" s="79" t="s">
        <v>5</v>
      </c>
      <c r="D10" s="2">
        <v>129</v>
      </c>
      <c r="E10" s="2" t="s">
        <v>3</v>
      </c>
      <c r="F10" s="2">
        <v>0</v>
      </c>
      <c r="G10" s="8">
        <v>1500</v>
      </c>
      <c r="H10" s="8">
        <v>12.7</v>
      </c>
      <c r="I10" s="4" t="e">
        <f>#REF!-#REF!-#REF!/1000</f>
        <v>#REF!</v>
      </c>
      <c r="J10" s="4" t="e">
        <f>(VLOOKUP(B10,#REF!,14))</f>
        <v>#REF!</v>
      </c>
      <c r="K10" s="83" t="e">
        <f>(VLOOKUP(B10,#REF!,15))</f>
        <v>#REF!</v>
      </c>
      <c r="L10" s="4" t="e">
        <f>(VLOOKUP(B10,#REF!,8))</f>
        <v>#REF!</v>
      </c>
      <c r="M10" s="4" t="e">
        <f t="shared" si="0"/>
        <v>#REF!</v>
      </c>
      <c r="N10" s="89" t="e">
        <f>#REF!/86400</f>
        <v>#REF!</v>
      </c>
    </row>
    <row r="11" spans="2:14">
      <c r="B11" s="76">
        <v>9</v>
      </c>
      <c r="C11" s="79" t="s">
        <v>6</v>
      </c>
      <c r="D11" s="2">
        <v>154</v>
      </c>
      <c r="E11" s="2" t="s">
        <v>3</v>
      </c>
      <c r="F11" s="2">
        <v>36</v>
      </c>
      <c r="G11" s="8">
        <v>1500</v>
      </c>
      <c r="H11" s="8">
        <v>12.7</v>
      </c>
      <c r="I11" s="4" t="e">
        <f>#REF!-#REF!-#REF!/1000</f>
        <v>#REF!</v>
      </c>
      <c r="J11" s="4" t="e">
        <f>(VLOOKUP(B11,#REF!,14))</f>
        <v>#REF!</v>
      </c>
      <c r="K11" s="83" t="e">
        <f>(VLOOKUP(B11,#REF!,15))</f>
        <v>#REF!</v>
      </c>
      <c r="L11" s="4" t="e">
        <f>(VLOOKUP(B11,#REF!,8))</f>
        <v>#REF!</v>
      </c>
      <c r="M11" s="4" t="e">
        <f t="shared" si="0"/>
        <v>#REF!</v>
      </c>
      <c r="N11" s="89" t="e">
        <f>#REF!/86400</f>
        <v>#REF!</v>
      </c>
    </row>
    <row r="12" spans="2:14">
      <c r="B12" s="76">
        <v>10</v>
      </c>
      <c r="C12" s="79" t="s">
        <v>6</v>
      </c>
      <c r="D12" s="2">
        <v>155</v>
      </c>
      <c r="E12" s="2" t="s">
        <v>3</v>
      </c>
      <c r="F12" s="2">
        <v>11.1</v>
      </c>
      <c r="G12" s="8">
        <v>1500</v>
      </c>
      <c r="H12" s="8">
        <v>12.7</v>
      </c>
      <c r="I12" s="4" t="e">
        <f>#REF!-#REF!-#REF!/1000</f>
        <v>#REF!</v>
      </c>
      <c r="J12" s="4" t="e">
        <f>(VLOOKUP(B12,#REF!,14))</f>
        <v>#REF!</v>
      </c>
      <c r="K12" s="83" t="e">
        <f>(VLOOKUP(B12,#REF!,15))</f>
        <v>#REF!</v>
      </c>
      <c r="L12" s="4" t="e">
        <f>(VLOOKUP(B12,#REF!,8))</f>
        <v>#REF!</v>
      </c>
      <c r="M12" s="4" t="e">
        <f t="shared" si="0"/>
        <v>#REF!</v>
      </c>
      <c r="N12" s="89" t="e">
        <f>#REF!/86400</f>
        <v>#REF!</v>
      </c>
    </row>
    <row r="13" spans="2:14">
      <c r="B13" s="76">
        <v>12</v>
      </c>
      <c r="C13" s="79" t="s">
        <v>7</v>
      </c>
      <c r="D13" s="2">
        <v>182</v>
      </c>
      <c r="E13" s="2" t="s">
        <v>3</v>
      </c>
      <c r="F13" s="2">
        <v>33</v>
      </c>
      <c r="G13" s="8">
        <v>1500</v>
      </c>
      <c r="H13" s="8">
        <v>12.7</v>
      </c>
      <c r="I13" s="4" t="e">
        <f>#REF!-#REF!-#REF!/1000</f>
        <v>#REF!</v>
      </c>
      <c r="J13" s="4" t="e">
        <f>(VLOOKUP(B13,#REF!,14))</f>
        <v>#REF!</v>
      </c>
      <c r="K13" s="83" t="e">
        <f>(VLOOKUP(B13,#REF!,15))</f>
        <v>#REF!</v>
      </c>
      <c r="L13" s="4" t="e">
        <f>(VLOOKUP(B13,#REF!,8))</f>
        <v>#REF!</v>
      </c>
      <c r="M13" s="4" t="e">
        <f t="shared" si="0"/>
        <v>#REF!</v>
      </c>
      <c r="N13" s="89" t="e">
        <f>#REF!/86400</f>
        <v>#REF!</v>
      </c>
    </row>
    <row r="14" spans="2:14">
      <c r="B14" s="76">
        <v>13</v>
      </c>
      <c r="C14" s="79" t="s">
        <v>7</v>
      </c>
      <c r="D14" s="2">
        <v>192</v>
      </c>
      <c r="E14" s="2" t="s">
        <v>3</v>
      </c>
      <c r="F14" s="2">
        <v>16.39</v>
      </c>
      <c r="G14" s="8">
        <v>1500</v>
      </c>
      <c r="H14" s="8">
        <v>12.7</v>
      </c>
      <c r="I14" s="4" t="e">
        <f>#REF!-#REF!-#REF!/1000</f>
        <v>#REF!</v>
      </c>
      <c r="J14" s="4" t="e">
        <f>(VLOOKUP(B14,#REF!,14))</f>
        <v>#REF!</v>
      </c>
      <c r="K14" s="83" t="e">
        <f>(VLOOKUP(B14,#REF!,15))</f>
        <v>#REF!</v>
      </c>
      <c r="L14" s="4" t="e">
        <f>(VLOOKUP(B14,#REF!,8))</f>
        <v>#REF!</v>
      </c>
      <c r="M14" s="4" t="e">
        <f t="shared" si="0"/>
        <v>#REF!</v>
      </c>
      <c r="N14" s="89" t="e">
        <f>#REF!/86400</f>
        <v>#REF!</v>
      </c>
    </row>
    <row r="15" spans="2:14">
      <c r="B15" s="76">
        <v>14</v>
      </c>
      <c r="C15" s="79" t="s">
        <v>8</v>
      </c>
      <c r="D15" s="2">
        <v>213</v>
      </c>
      <c r="E15" s="2" t="s">
        <v>3</v>
      </c>
      <c r="F15" s="2">
        <v>23.06</v>
      </c>
      <c r="G15" s="8">
        <v>1500</v>
      </c>
      <c r="H15" s="8">
        <v>12.7</v>
      </c>
      <c r="I15" s="4" t="e">
        <f>#REF!-#REF!-#REF!/1000</f>
        <v>#REF!</v>
      </c>
      <c r="J15" s="4" t="e">
        <f>(VLOOKUP(B15,#REF!,14))</f>
        <v>#REF!</v>
      </c>
      <c r="K15" s="83" t="e">
        <f>(VLOOKUP(B15,#REF!,15))</f>
        <v>#REF!</v>
      </c>
      <c r="L15" s="4" t="e">
        <f>(VLOOKUP(B15,#REF!,8))</f>
        <v>#REF!</v>
      </c>
      <c r="M15" s="4" t="e">
        <f t="shared" si="0"/>
        <v>#REF!</v>
      </c>
      <c r="N15" s="89" t="e">
        <f>#REF!/86400</f>
        <v>#REF!</v>
      </c>
    </row>
    <row r="16" spans="2:14">
      <c r="B16" s="76">
        <v>15</v>
      </c>
      <c r="C16" s="79" t="s">
        <v>8</v>
      </c>
      <c r="D16" s="2">
        <v>214</v>
      </c>
      <c r="E16" s="2" t="s">
        <v>3</v>
      </c>
      <c r="F16" s="2">
        <v>13.88</v>
      </c>
      <c r="G16" s="8">
        <v>1500</v>
      </c>
      <c r="H16" s="8">
        <v>12.7</v>
      </c>
      <c r="I16" s="4" t="e">
        <f>#REF!-#REF!-#REF!/1000</f>
        <v>#REF!</v>
      </c>
      <c r="J16" s="4" t="e">
        <f>(VLOOKUP(B16,#REF!,14))</f>
        <v>#REF!</v>
      </c>
      <c r="K16" s="83" t="e">
        <f>(VLOOKUP(B16,#REF!,15))</f>
        <v>#REF!</v>
      </c>
      <c r="L16" s="4" t="e">
        <f>(VLOOKUP(B16,#REF!,8))</f>
        <v>#REF!</v>
      </c>
      <c r="M16" s="4" t="e">
        <f t="shared" si="0"/>
        <v>#REF!</v>
      </c>
      <c r="N16" s="89" t="e">
        <f>#REF!/86400</f>
        <v>#REF!</v>
      </c>
    </row>
    <row r="17" spans="2:14">
      <c r="B17" s="76">
        <v>16</v>
      </c>
      <c r="C17" s="79" t="s">
        <v>9</v>
      </c>
      <c r="D17" s="2">
        <v>247</v>
      </c>
      <c r="E17" s="2" t="s">
        <v>3</v>
      </c>
      <c r="F17" s="2">
        <v>32.770000000000003</v>
      </c>
      <c r="G17" s="8">
        <v>1500</v>
      </c>
      <c r="H17" s="8">
        <v>12.7</v>
      </c>
      <c r="I17" s="4" t="e">
        <f>#REF!-#REF!-#REF!/1000</f>
        <v>#REF!</v>
      </c>
      <c r="J17" s="4" t="e">
        <f>(VLOOKUP(B17,#REF!,14))</f>
        <v>#REF!</v>
      </c>
      <c r="K17" s="83" t="e">
        <f>(VLOOKUP(B17,#REF!,15))</f>
        <v>#REF!</v>
      </c>
      <c r="L17" s="4" t="e">
        <f>(VLOOKUP(B17,#REF!,8))</f>
        <v>#REF!</v>
      </c>
      <c r="M17" s="4" t="e">
        <f t="shared" si="0"/>
        <v>#REF!</v>
      </c>
      <c r="N17" s="89" t="e">
        <f>#REF!/86400</f>
        <v>#REF!</v>
      </c>
    </row>
    <row r="18" spans="2:14">
      <c r="B18" s="76">
        <v>18</v>
      </c>
      <c r="C18" s="79" t="s">
        <v>10</v>
      </c>
      <c r="D18" s="2">
        <v>272</v>
      </c>
      <c r="E18" s="2" t="s">
        <v>3</v>
      </c>
      <c r="F18" s="2">
        <v>27</v>
      </c>
      <c r="G18" s="8">
        <v>1500</v>
      </c>
      <c r="H18" s="8">
        <v>12.7</v>
      </c>
      <c r="I18" s="4" t="e">
        <f>#REF!-#REF!-#REF!/1000</f>
        <v>#REF!</v>
      </c>
      <c r="J18" s="4" t="e">
        <f>(VLOOKUP(B18,#REF!,14))</f>
        <v>#REF!</v>
      </c>
      <c r="K18" s="83" t="e">
        <f>(VLOOKUP(B18,#REF!,15))</f>
        <v>#REF!</v>
      </c>
      <c r="L18" s="4" t="e">
        <f>(VLOOKUP(B18,#REF!,8))</f>
        <v>#REF!</v>
      </c>
      <c r="M18" s="4" t="e">
        <f t="shared" si="0"/>
        <v>#REF!</v>
      </c>
      <c r="N18" s="89" t="e">
        <f>#REF!/86400</f>
        <v>#REF!</v>
      </c>
    </row>
    <row r="19" spans="2:14">
      <c r="B19" s="76">
        <v>19</v>
      </c>
      <c r="C19" s="79" t="s">
        <v>10</v>
      </c>
      <c r="D19" s="2">
        <v>273</v>
      </c>
      <c r="E19" s="2" t="s">
        <v>3</v>
      </c>
      <c r="F19" s="2">
        <v>12.8</v>
      </c>
      <c r="G19" s="8">
        <v>1500</v>
      </c>
      <c r="H19" s="8">
        <v>12.7</v>
      </c>
      <c r="I19" s="4" t="e">
        <f>#REF!-#REF!-#REF!/1000</f>
        <v>#REF!</v>
      </c>
      <c r="J19" s="4" t="e">
        <f>(VLOOKUP(B19,#REF!,14))</f>
        <v>#REF!</v>
      </c>
      <c r="K19" s="83" t="e">
        <f>(VLOOKUP(B19,#REF!,15))</f>
        <v>#REF!</v>
      </c>
      <c r="L19" s="4" t="e">
        <f>(VLOOKUP(B19,#REF!,8))</f>
        <v>#REF!</v>
      </c>
      <c r="M19" s="4" t="e">
        <f t="shared" si="0"/>
        <v>#REF!</v>
      </c>
      <c r="N19" s="89" t="e">
        <f>#REF!/86400</f>
        <v>#REF!</v>
      </c>
    </row>
    <row r="20" spans="2:14">
      <c r="B20" s="76">
        <v>20</v>
      </c>
      <c r="C20" s="79" t="s">
        <v>10</v>
      </c>
      <c r="D20" s="2">
        <v>274</v>
      </c>
      <c r="E20" s="2" t="s">
        <v>3</v>
      </c>
      <c r="F20" s="2">
        <v>0</v>
      </c>
      <c r="G20" s="8">
        <v>1500</v>
      </c>
      <c r="H20" s="8">
        <v>12.7</v>
      </c>
      <c r="I20" s="4" t="e">
        <f>#REF!-#REF!-#REF!/1000</f>
        <v>#REF!</v>
      </c>
      <c r="J20" s="4" t="e">
        <f>(VLOOKUP(B20,#REF!,14))</f>
        <v>#REF!</v>
      </c>
      <c r="K20" s="83" t="e">
        <f>(VLOOKUP(B20,#REF!,15))</f>
        <v>#REF!</v>
      </c>
      <c r="L20" s="4" t="e">
        <f>(VLOOKUP(B20,#REF!,8))</f>
        <v>#REF!</v>
      </c>
      <c r="M20" s="4" t="e">
        <f t="shared" si="0"/>
        <v>#REF!</v>
      </c>
      <c r="N20" s="89" t="e">
        <f>#REF!/86400</f>
        <v>#REF!</v>
      </c>
    </row>
    <row r="21" spans="2:14">
      <c r="B21" s="76">
        <v>21</v>
      </c>
      <c r="C21" s="79" t="s">
        <v>10</v>
      </c>
      <c r="D21" s="2">
        <v>281</v>
      </c>
      <c r="E21" s="2" t="s">
        <v>3</v>
      </c>
      <c r="F21" s="2">
        <v>0</v>
      </c>
      <c r="G21" s="8">
        <v>1500</v>
      </c>
      <c r="H21" s="8">
        <v>12.7</v>
      </c>
      <c r="I21" s="4" t="e">
        <f>#REF!-#REF!-#REF!/1000</f>
        <v>#REF!</v>
      </c>
      <c r="J21" s="4" t="e">
        <f>(VLOOKUP(B21,#REF!,14))</f>
        <v>#REF!</v>
      </c>
      <c r="K21" s="83" t="e">
        <f>(VLOOKUP(B21,#REF!,15))</f>
        <v>#REF!</v>
      </c>
      <c r="L21" s="4" t="e">
        <f>(VLOOKUP(B21,#REF!,8))</f>
        <v>#REF!</v>
      </c>
      <c r="M21" s="4" t="e">
        <f t="shared" si="0"/>
        <v>#REF!</v>
      </c>
      <c r="N21" s="89" t="e">
        <f>#REF!/86400</f>
        <v>#REF!</v>
      </c>
    </row>
    <row r="22" spans="2:14">
      <c r="B22" s="76">
        <v>22</v>
      </c>
      <c r="C22" s="79" t="s">
        <v>11</v>
      </c>
      <c r="D22" s="2">
        <v>287</v>
      </c>
      <c r="E22" s="2" t="s">
        <v>3</v>
      </c>
      <c r="F22" s="2">
        <v>35.979999999999997</v>
      </c>
      <c r="G22" s="8">
        <v>1500</v>
      </c>
      <c r="H22" s="8">
        <v>12.7</v>
      </c>
      <c r="I22" s="4" t="e">
        <f>#REF!-#REF!-#REF!/1000</f>
        <v>#REF!</v>
      </c>
      <c r="J22" s="4" t="e">
        <f>(VLOOKUP(B22,#REF!,14))</f>
        <v>#REF!</v>
      </c>
      <c r="K22" s="83" t="e">
        <f>(VLOOKUP(B22,#REF!,15))</f>
        <v>#REF!</v>
      </c>
      <c r="L22" s="4" t="e">
        <f>(VLOOKUP(B22,#REF!,8))</f>
        <v>#REF!</v>
      </c>
      <c r="M22" s="4" t="e">
        <f t="shared" si="0"/>
        <v>#REF!</v>
      </c>
      <c r="N22" s="89" t="e">
        <f>#REF!/86400</f>
        <v>#REF!</v>
      </c>
    </row>
    <row r="23" spans="2:14">
      <c r="B23" s="76">
        <v>23</v>
      </c>
      <c r="C23" s="79" t="s">
        <v>11</v>
      </c>
      <c r="D23" s="2">
        <v>307</v>
      </c>
      <c r="E23" s="2" t="s">
        <v>3</v>
      </c>
      <c r="F23" s="2">
        <v>0</v>
      </c>
      <c r="G23" s="8">
        <v>1500</v>
      </c>
      <c r="H23" s="8">
        <v>12.7</v>
      </c>
      <c r="I23" s="4" t="e">
        <f>#REF!-#REF!-#REF!/1000</f>
        <v>#REF!</v>
      </c>
      <c r="J23" s="4" t="e">
        <f>(VLOOKUP(B23,#REF!,14))</f>
        <v>#REF!</v>
      </c>
      <c r="K23" s="83" t="e">
        <f>(VLOOKUP(B23,#REF!,15))</f>
        <v>#REF!</v>
      </c>
      <c r="L23" s="4" t="e">
        <f>(VLOOKUP(B23,#REF!,8))</f>
        <v>#REF!</v>
      </c>
      <c r="M23" s="4" t="e">
        <f t="shared" si="0"/>
        <v>#REF!</v>
      </c>
      <c r="N23" s="89" t="e">
        <f>#REF!/86400</f>
        <v>#REF!</v>
      </c>
    </row>
    <row r="24" spans="2:14">
      <c r="B24" s="76">
        <v>24</v>
      </c>
      <c r="C24" s="79" t="s">
        <v>12</v>
      </c>
      <c r="D24" s="2">
        <v>318</v>
      </c>
      <c r="E24" s="2" t="s">
        <v>3</v>
      </c>
      <c r="F24" s="2">
        <v>7.15</v>
      </c>
      <c r="G24" s="8">
        <v>1500</v>
      </c>
      <c r="H24" s="8">
        <v>12.7</v>
      </c>
      <c r="I24" s="4" t="e">
        <f>#REF!-#REF!-#REF!/1000</f>
        <v>#REF!</v>
      </c>
      <c r="J24" s="4" t="e">
        <f>(VLOOKUP(B24,#REF!,14))</f>
        <v>#REF!</v>
      </c>
      <c r="K24" s="83" t="e">
        <f>(VLOOKUP(B24,#REF!,15))</f>
        <v>#REF!</v>
      </c>
      <c r="L24" s="4" t="e">
        <f>(VLOOKUP(B24,#REF!,8))</f>
        <v>#REF!</v>
      </c>
      <c r="M24" s="4" t="e">
        <f t="shared" si="0"/>
        <v>#REF!</v>
      </c>
      <c r="N24" s="89" t="e">
        <f>#REF!/86400</f>
        <v>#REF!</v>
      </c>
    </row>
    <row r="25" spans="2:14">
      <c r="B25" s="76">
        <v>25</v>
      </c>
      <c r="C25" s="79" t="s">
        <v>12</v>
      </c>
      <c r="D25" s="2">
        <v>350</v>
      </c>
      <c r="E25" s="2" t="s">
        <v>3</v>
      </c>
      <c r="F25" s="2">
        <v>0</v>
      </c>
      <c r="G25" s="8">
        <v>1500</v>
      </c>
      <c r="H25" s="8">
        <v>12.7</v>
      </c>
      <c r="I25" s="4" t="e">
        <f>#REF!-#REF!-#REF!/1000</f>
        <v>#REF!</v>
      </c>
      <c r="J25" s="4" t="e">
        <f>(VLOOKUP(B25,#REF!,14))</f>
        <v>#REF!</v>
      </c>
      <c r="K25" s="83" t="e">
        <f>(VLOOKUP(B25,#REF!,15))</f>
        <v>#REF!</v>
      </c>
      <c r="L25" s="4" t="e">
        <f>(VLOOKUP(B25,#REF!,8))</f>
        <v>#REF!</v>
      </c>
      <c r="M25" s="4" t="e">
        <f t="shared" si="0"/>
        <v>#REF!</v>
      </c>
      <c r="N25" s="89" t="e">
        <f>#REF!/86400</f>
        <v>#REF!</v>
      </c>
    </row>
    <row r="26" spans="2:14">
      <c r="B26" s="76">
        <v>26</v>
      </c>
      <c r="C26" s="79" t="s">
        <v>13</v>
      </c>
      <c r="D26" s="2">
        <v>387</v>
      </c>
      <c r="E26" s="2" t="s">
        <v>3</v>
      </c>
      <c r="F26" s="2">
        <v>3.79</v>
      </c>
      <c r="G26" s="8">
        <v>1500</v>
      </c>
      <c r="H26" s="8">
        <v>12.7</v>
      </c>
      <c r="I26" s="4" t="e">
        <f>#REF!-#REF!-#REF!/1000</f>
        <v>#REF!</v>
      </c>
      <c r="J26" s="4" t="e">
        <f>(VLOOKUP(B26,#REF!,14))</f>
        <v>#REF!</v>
      </c>
      <c r="K26" s="83" t="e">
        <f>(VLOOKUP(B26,#REF!,15))</f>
        <v>#REF!</v>
      </c>
      <c r="L26" s="4" t="e">
        <f>(VLOOKUP(B26,#REF!,8))</f>
        <v>#REF!</v>
      </c>
      <c r="M26" s="4" t="e">
        <f t="shared" si="0"/>
        <v>#REF!</v>
      </c>
      <c r="N26" s="89" t="e">
        <f>#REF!/86400</f>
        <v>#REF!</v>
      </c>
    </row>
    <row r="27" spans="2:14">
      <c r="B27" s="76">
        <v>27</v>
      </c>
      <c r="C27" s="79" t="s">
        <v>13</v>
      </c>
      <c r="D27" s="2">
        <v>389</v>
      </c>
      <c r="E27" s="2" t="s">
        <v>3</v>
      </c>
      <c r="F27" s="2">
        <v>0</v>
      </c>
      <c r="G27" s="8">
        <v>1500</v>
      </c>
      <c r="H27" s="8">
        <v>12.7</v>
      </c>
      <c r="I27" s="4" t="e">
        <f>#REF!-#REF!-#REF!/1000</f>
        <v>#REF!</v>
      </c>
      <c r="J27" s="4" t="e">
        <f>(VLOOKUP(B27,#REF!,14))</f>
        <v>#REF!</v>
      </c>
      <c r="K27" s="83" t="e">
        <f>(VLOOKUP(B27,#REF!,15))</f>
        <v>#REF!</v>
      </c>
      <c r="L27" s="4" t="e">
        <f>(VLOOKUP(B27,#REF!,8))</f>
        <v>#REF!</v>
      </c>
      <c r="M27" s="4" t="e">
        <f t="shared" si="0"/>
        <v>#REF!</v>
      </c>
      <c r="N27" s="89" t="e">
        <f>#REF!/86400</f>
        <v>#REF!</v>
      </c>
    </row>
    <row r="28" spans="2:14">
      <c r="B28" s="76">
        <v>28</v>
      </c>
      <c r="C28" s="79" t="s">
        <v>14</v>
      </c>
      <c r="D28" s="2">
        <v>392</v>
      </c>
      <c r="E28" s="2" t="s">
        <v>3</v>
      </c>
      <c r="F28" s="2">
        <v>0</v>
      </c>
      <c r="G28" s="8">
        <v>1500</v>
      </c>
      <c r="H28" s="8">
        <v>12.7</v>
      </c>
      <c r="I28" s="4" t="e">
        <f>#REF!-#REF!-#REF!/1000</f>
        <v>#REF!</v>
      </c>
      <c r="J28" s="4" t="e">
        <f>(VLOOKUP(B28,#REF!,14))</f>
        <v>#REF!</v>
      </c>
      <c r="K28" s="83" t="e">
        <f>(VLOOKUP(B28,#REF!,15))</f>
        <v>#REF!</v>
      </c>
      <c r="L28" s="4" t="e">
        <f>(VLOOKUP(B28,#REF!,8))</f>
        <v>#REF!</v>
      </c>
      <c r="M28" s="4" t="e">
        <f t="shared" si="0"/>
        <v>#REF!</v>
      </c>
      <c r="N28" s="89" t="e">
        <f>#REF!/86400</f>
        <v>#REF!</v>
      </c>
    </row>
    <row r="29" spans="2:14">
      <c r="B29" s="76">
        <v>29</v>
      </c>
      <c r="C29" s="79" t="s">
        <v>14</v>
      </c>
      <c r="D29" s="2">
        <v>404</v>
      </c>
      <c r="E29" s="2" t="s">
        <v>3</v>
      </c>
      <c r="F29" s="2">
        <v>30.61</v>
      </c>
      <c r="G29" s="8">
        <v>1500</v>
      </c>
      <c r="H29" s="8">
        <v>12.7</v>
      </c>
      <c r="I29" s="4" t="e">
        <f>#REF!-#REF!-#REF!/1000</f>
        <v>#REF!</v>
      </c>
      <c r="J29" s="4" t="e">
        <f>(VLOOKUP(B29,#REF!,14))</f>
        <v>#REF!</v>
      </c>
      <c r="K29" s="83" t="e">
        <f>(VLOOKUP(B29,#REF!,15))</f>
        <v>#REF!</v>
      </c>
      <c r="L29" s="4" t="e">
        <f>(VLOOKUP(B29,#REF!,8))</f>
        <v>#REF!</v>
      </c>
      <c r="M29" s="4" t="e">
        <f t="shared" si="0"/>
        <v>#REF!</v>
      </c>
      <c r="N29" s="89" t="e">
        <f>#REF!/86400</f>
        <v>#REF!</v>
      </c>
    </row>
    <row r="30" spans="2:14">
      <c r="B30" s="76">
        <v>30</v>
      </c>
      <c r="C30" s="79" t="s">
        <v>15</v>
      </c>
      <c r="D30" s="2">
        <v>440</v>
      </c>
      <c r="E30" s="2" t="s">
        <v>3</v>
      </c>
      <c r="F30" s="2">
        <v>8.2799999999999994</v>
      </c>
      <c r="G30" s="8">
        <v>1500</v>
      </c>
      <c r="H30" s="8">
        <v>12.7</v>
      </c>
      <c r="I30" s="4" t="e">
        <f>#REF!-#REF!-#REF!/1000</f>
        <v>#REF!</v>
      </c>
      <c r="J30" s="4" t="e">
        <f>(VLOOKUP(B30,#REF!,14))</f>
        <v>#REF!</v>
      </c>
      <c r="K30" s="83" t="e">
        <f>(VLOOKUP(B30,#REF!,15))</f>
        <v>#REF!</v>
      </c>
      <c r="L30" s="4" t="e">
        <f>(VLOOKUP(B30,#REF!,8))</f>
        <v>#REF!</v>
      </c>
      <c r="M30" s="4" t="e">
        <f t="shared" si="0"/>
        <v>#REF!</v>
      </c>
      <c r="N30" s="89" t="e">
        <f>#REF!/86400</f>
        <v>#REF!</v>
      </c>
    </row>
    <row r="31" spans="2:14">
      <c r="B31" s="76">
        <v>31</v>
      </c>
      <c r="C31" s="79" t="s">
        <v>15</v>
      </c>
      <c r="D31" s="2">
        <v>442</v>
      </c>
      <c r="E31" s="2" t="s">
        <v>3</v>
      </c>
      <c r="F31" s="2">
        <v>0</v>
      </c>
      <c r="G31" s="8">
        <v>1500</v>
      </c>
      <c r="H31" s="8">
        <v>12.7</v>
      </c>
      <c r="I31" s="4" t="e">
        <f>#REF!-#REF!-#REF!/1000</f>
        <v>#REF!</v>
      </c>
      <c r="J31" s="4" t="e">
        <f>(VLOOKUP(B31,#REF!,14))</f>
        <v>#REF!</v>
      </c>
      <c r="K31" s="83" t="e">
        <f>(VLOOKUP(B31,#REF!,15))</f>
        <v>#REF!</v>
      </c>
      <c r="L31" s="4" t="e">
        <f>(VLOOKUP(B31,#REF!,8))</f>
        <v>#REF!</v>
      </c>
      <c r="M31" s="4" t="e">
        <f t="shared" si="0"/>
        <v>#REF!</v>
      </c>
      <c r="N31" s="89" t="e">
        <f>#REF!/86400</f>
        <v>#REF!</v>
      </c>
    </row>
    <row r="32" spans="2:14">
      <c r="B32" s="76">
        <v>32</v>
      </c>
      <c r="C32" s="79" t="s">
        <v>16</v>
      </c>
      <c r="D32" s="2">
        <v>457</v>
      </c>
      <c r="E32" s="2" t="s">
        <v>3</v>
      </c>
      <c r="F32" s="2">
        <v>5.95</v>
      </c>
      <c r="G32" s="8">
        <v>1500</v>
      </c>
      <c r="H32" s="8">
        <v>12.7</v>
      </c>
      <c r="I32" s="4" t="e">
        <f>#REF!-#REF!-#REF!/1000</f>
        <v>#REF!</v>
      </c>
      <c r="J32" s="4" t="e">
        <f>(VLOOKUP(B32,#REF!,14))</f>
        <v>#REF!</v>
      </c>
      <c r="K32" s="83" t="e">
        <f>(VLOOKUP(B32,#REF!,15))</f>
        <v>#REF!</v>
      </c>
      <c r="L32" s="4" t="e">
        <f>(VLOOKUP(B32,#REF!,8))</f>
        <v>#REF!</v>
      </c>
      <c r="M32" s="4" t="e">
        <f t="shared" si="0"/>
        <v>#REF!</v>
      </c>
      <c r="N32" s="89" t="e">
        <f>#REF!/86400</f>
        <v>#REF!</v>
      </c>
    </row>
    <row r="33" spans="2:14">
      <c r="B33" s="76">
        <v>34</v>
      </c>
      <c r="C33" s="79" t="s">
        <v>17</v>
      </c>
      <c r="D33" s="2">
        <v>503</v>
      </c>
      <c r="E33" s="2" t="s">
        <v>3</v>
      </c>
      <c r="F33" s="2">
        <v>0</v>
      </c>
      <c r="G33" s="8">
        <v>1500</v>
      </c>
      <c r="H33" s="8">
        <v>12.7</v>
      </c>
      <c r="I33" s="16" t="e">
        <f>#REF!-#REF!-#REF!/1000</f>
        <v>#REF!</v>
      </c>
      <c r="J33" s="4" t="e">
        <f>(VLOOKUP(B33,#REF!,14))</f>
        <v>#REF!</v>
      </c>
      <c r="K33" s="83" t="e">
        <f>(VLOOKUP(B33,#REF!,15))</f>
        <v>#REF!</v>
      </c>
      <c r="L33" s="4" t="e">
        <f>(VLOOKUP(B33,#REF!,8))</f>
        <v>#REF!</v>
      </c>
      <c r="M33" s="4" t="e">
        <f t="shared" si="0"/>
        <v>#REF!</v>
      </c>
      <c r="N33" s="89" t="e">
        <f>#REF!/86400</f>
        <v>#REF!</v>
      </c>
    </row>
    <row r="34" spans="2:14">
      <c r="B34" s="76">
        <v>35</v>
      </c>
      <c r="C34" s="79" t="s">
        <v>17</v>
      </c>
      <c r="D34" s="2">
        <v>530</v>
      </c>
      <c r="E34" s="2" t="s">
        <v>3</v>
      </c>
      <c r="F34" s="2">
        <v>30.32</v>
      </c>
      <c r="G34" s="8">
        <v>1500</v>
      </c>
      <c r="H34" s="8">
        <v>12.7</v>
      </c>
      <c r="I34" s="4" t="e">
        <f>#REF!-#REF!-#REF!/1000</f>
        <v>#REF!</v>
      </c>
      <c r="J34" s="4" t="e">
        <f>(VLOOKUP(B34,#REF!,14))</f>
        <v>#REF!</v>
      </c>
      <c r="K34" s="83" t="e">
        <f>(VLOOKUP(B34,#REF!,15))</f>
        <v>#REF!</v>
      </c>
      <c r="L34" s="4" t="e">
        <f>(VLOOKUP(B34,#REF!,8))</f>
        <v>#REF!</v>
      </c>
      <c r="M34" s="4" t="e">
        <f t="shared" si="0"/>
        <v>#REF!</v>
      </c>
      <c r="N34" s="89" t="e">
        <f>#REF!/86400</f>
        <v>#REF!</v>
      </c>
    </row>
    <row r="35" spans="2:14">
      <c r="B35" s="76">
        <v>36</v>
      </c>
      <c r="C35" s="79" t="s">
        <v>18</v>
      </c>
      <c r="D35" s="2">
        <v>554</v>
      </c>
      <c r="E35" s="2" t="s">
        <v>3</v>
      </c>
      <c r="F35" s="2">
        <v>0</v>
      </c>
      <c r="G35" s="8">
        <v>1500</v>
      </c>
      <c r="H35" s="8">
        <v>12.7</v>
      </c>
      <c r="I35" s="4" t="e">
        <f>#REF!-#REF!-#REF!/1000</f>
        <v>#REF!</v>
      </c>
      <c r="J35" s="4" t="e">
        <f>(VLOOKUP(B35,#REF!,14))</f>
        <v>#REF!</v>
      </c>
      <c r="K35" s="83" t="e">
        <f>(VLOOKUP(B35,#REF!,15))</f>
        <v>#REF!</v>
      </c>
      <c r="L35" s="4" t="e">
        <f>(VLOOKUP(B35,#REF!,8))</f>
        <v>#REF!</v>
      </c>
      <c r="M35" s="4" t="e">
        <f t="shared" si="0"/>
        <v>#REF!</v>
      </c>
      <c r="N35" s="89" t="e">
        <f>#REF!/86400</f>
        <v>#REF!</v>
      </c>
    </row>
    <row r="36" spans="2:14">
      <c r="B36" s="76">
        <v>37</v>
      </c>
      <c r="C36" s="79" t="s">
        <v>18</v>
      </c>
      <c r="D36" s="2">
        <v>564</v>
      </c>
      <c r="E36" s="2" t="s">
        <v>3</v>
      </c>
      <c r="F36" s="2">
        <v>0</v>
      </c>
      <c r="G36" s="8">
        <v>1500</v>
      </c>
      <c r="H36" s="8">
        <v>12.7</v>
      </c>
      <c r="I36" s="4" t="e">
        <f>#REF!-#REF!-#REF!/1000</f>
        <v>#REF!</v>
      </c>
      <c r="J36" s="4" t="e">
        <f>(VLOOKUP(B36,#REF!,14))</f>
        <v>#REF!</v>
      </c>
      <c r="K36" s="83" t="e">
        <f>(VLOOKUP(B36,#REF!,15))</f>
        <v>#REF!</v>
      </c>
      <c r="L36" s="4" t="e">
        <f>(VLOOKUP(B36,#REF!,8))</f>
        <v>#REF!</v>
      </c>
      <c r="M36" s="4" t="e">
        <f t="shared" si="0"/>
        <v>#REF!</v>
      </c>
      <c r="N36" s="89" t="e">
        <f>#REF!/86400</f>
        <v>#REF!</v>
      </c>
    </row>
    <row r="37" spans="2:14">
      <c r="B37" s="76">
        <v>38</v>
      </c>
      <c r="C37" s="79" t="s">
        <v>19</v>
      </c>
      <c r="D37" s="2">
        <v>567</v>
      </c>
      <c r="E37" s="2" t="s">
        <v>3</v>
      </c>
      <c r="F37" s="2">
        <v>0</v>
      </c>
      <c r="G37" s="8">
        <v>1500</v>
      </c>
      <c r="H37" s="8">
        <v>12.7</v>
      </c>
      <c r="I37" s="4" t="e">
        <f>#REF!-#REF!-#REF!/1000</f>
        <v>#REF!</v>
      </c>
      <c r="J37" s="4" t="e">
        <f>(VLOOKUP(B37,#REF!,14))</f>
        <v>#REF!</v>
      </c>
      <c r="K37" s="83" t="e">
        <f>(VLOOKUP(B37,#REF!,15))</f>
        <v>#REF!</v>
      </c>
      <c r="L37" s="4" t="e">
        <f>(VLOOKUP(B37,#REF!,8))</f>
        <v>#REF!</v>
      </c>
      <c r="M37" s="4" t="e">
        <f t="shared" si="0"/>
        <v>#REF!</v>
      </c>
      <c r="N37" s="89" t="e">
        <f>#REF!/86400</f>
        <v>#REF!</v>
      </c>
    </row>
    <row r="38" spans="2:14">
      <c r="B38" s="76">
        <v>39</v>
      </c>
      <c r="C38" s="79" t="s">
        <v>20</v>
      </c>
      <c r="D38" s="2">
        <v>571</v>
      </c>
      <c r="E38" s="2" t="s">
        <v>3</v>
      </c>
      <c r="F38" s="2">
        <v>32.22</v>
      </c>
      <c r="G38" s="8">
        <v>1500</v>
      </c>
      <c r="H38" s="8">
        <v>12.7</v>
      </c>
      <c r="I38" s="4" t="e">
        <f>#REF!-#REF!-#REF!/1000</f>
        <v>#REF!</v>
      </c>
      <c r="J38" s="4" t="e">
        <f>(VLOOKUP(B38,#REF!,14))</f>
        <v>#REF!</v>
      </c>
      <c r="K38" s="83" t="e">
        <f>(VLOOKUP(B38,#REF!,15))</f>
        <v>#REF!</v>
      </c>
      <c r="L38" s="4" t="e">
        <f>(VLOOKUP(B38,#REF!,8))</f>
        <v>#REF!</v>
      </c>
      <c r="M38" s="4" t="e">
        <f t="shared" si="0"/>
        <v>#REF!</v>
      </c>
      <c r="N38" s="89" t="e">
        <f>#REF!/86400</f>
        <v>#REF!</v>
      </c>
    </row>
    <row r="39" spans="2:14">
      <c r="B39" s="76">
        <v>40</v>
      </c>
      <c r="C39" s="79" t="s">
        <v>20</v>
      </c>
      <c r="D39" s="2">
        <v>577</v>
      </c>
      <c r="E39" s="2" t="s">
        <v>3</v>
      </c>
      <c r="F39" s="2">
        <v>0</v>
      </c>
      <c r="G39" s="8">
        <v>1500</v>
      </c>
      <c r="H39" s="8">
        <v>12.7</v>
      </c>
      <c r="I39" s="4" t="e">
        <f>#REF!-#REF!-#REF!/1000</f>
        <v>#REF!</v>
      </c>
      <c r="J39" s="4" t="e">
        <f>(VLOOKUP(B39,#REF!,14))</f>
        <v>#REF!</v>
      </c>
      <c r="K39" s="83" t="e">
        <f>(VLOOKUP(B39,#REF!,15))</f>
        <v>#REF!</v>
      </c>
      <c r="L39" s="4" t="e">
        <f>(VLOOKUP(B39,#REF!,8))</f>
        <v>#REF!</v>
      </c>
      <c r="M39" s="4" t="e">
        <f t="shared" si="0"/>
        <v>#REF!</v>
      </c>
      <c r="N39" s="89" t="e">
        <f>#REF!/86400</f>
        <v>#REF!</v>
      </c>
    </row>
    <row r="40" spans="2:14">
      <c r="B40" s="76">
        <v>41</v>
      </c>
      <c r="C40" s="79" t="s">
        <v>21</v>
      </c>
      <c r="D40" s="2">
        <v>578</v>
      </c>
      <c r="E40" s="2" t="s">
        <v>3</v>
      </c>
      <c r="F40" s="2">
        <v>24.03</v>
      </c>
      <c r="G40" s="8">
        <v>1500</v>
      </c>
      <c r="H40" s="8">
        <v>12.7</v>
      </c>
      <c r="I40" s="4" t="e">
        <f>#REF!-#REF!-#REF!/1000</f>
        <v>#REF!</v>
      </c>
      <c r="J40" s="4" t="e">
        <f>(VLOOKUP(B40,#REF!,14))</f>
        <v>#REF!</v>
      </c>
      <c r="K40" s="83" t="e">
        <f>(VLOOKUP(B40,#REF!,15))</f>
        <v>#REF!</v>
      </c>
      <c r="L40" s="4" t="e">
        <f>(VLOOKUP(B40,#REF!,8))</f>
        <v>#REF!</v>
      </c>
      <c r="M40" s="4" t="e">
        <f t="shared" si="0"/>
        <v>#REF!</v>
      </c>
      <c r="N40" s="89" t="e">
        <f>#REF!/86400</f>
        <v>#REF!</v>
      </c>
    </row>
    <row r="41" spans="2:14">
      <c r="B41" s="76">
        <v>42</v>
      </c>
      <c r="C41" s="79" t="s">
        <v>21</v>
      </c>
      <c r="D41" s="2">
        <v>589</v>
      </c>
      <c r="E41" s="2" t="s">
        <v>3</v>
      </c>
      <c r="F41" s="2">
        <v>0</v>
      </c>
      <c r="G41" s="8">
        <v>1500</v>
      </c>
      <c r="H41" s="8">
        <v>12.7</v>
      </c>
      <c r="I41" s="4" t="e">
        <f>#REF!-#REF!-#REF!/1000</f>
        <v>#REF!</v>
      </c>
      <c r="J41" s="4" t="e">
        <f>(VLOOKUP(B41,#REF!,14))</f>
        <v>#REF!</v>
      </c>
      <c r="K41" s="83" t="e">
        <f>(VLOOKUP(B41,#REF!,15))</f>
        <v>#REF!</v>
      </c>
      <c r="L41" s="4" t="e">
        <f>(VLOOKUP(B41,#REF!,8))</f>
        <v>#REF!</v>
      </c>
      <c r="M41" s="4" t="e">
        <f t="shared" si="0"/>
        <v>#REF!</v>
      </c>
      <c r="N41" s="89" t="e">
        <f>#REF!/86400</f>
        <v>#REF!</v>
      </c>
    </row>
    <row r="42" spans="2:14">
      <c r="B42" s="76">
        <v>43</v>
      </c>
      <c r="C42" s="79" t="s">
        <v>21</v>
      </c>
      <c r="D42" s="2">
        <v>603</v>
      </c>
      <c r="E42" s="2" t="s">
        <v>3</v>
      </c>
      <c r="F42" s="2">
        <v>37.14</v>
      </c>
      <c r="G42" s="8">
        <v>1500</v>
      </c>
      <c r="H42" s="8">
        <v>12.7</v>
      </c>
      <c r="I42" s="4" t="e">
        <f>#REF!-#REF!-#REF!/1000</f>
        <v>#REF!</v>
      </c>
      <c r="J42" s="4" t="e">
        <f>(VLOOKUP(B42,#REF!,14))</f>
        <v>#REF!</v>
      </c>
      <c r="K42" s="83" t="e">
        <f>(VLOOKUP(B42,#REF!,15))</f>
        <v>#REF!</v>
      </c>
      <c r="L42" s="4" t="e">
        <f>(VLOOKUP(B42,#REF!,8))</f>
        <v>#REF!</v>
      </c>
      <c r="M42" s="4" t="e">
        <f t="shared" si="0"/>
        <v>#REF!</v>
      </c>
      <c r="N42" s="89" t="e">
        <f>#REF!/86400</f>
        <v>#REF!</v>
      </c>
    </row>
    <row r="43" spans="2:14">
      <c r="B43" s="76">
        <v>44</v>
      </c>
      <c r="C43" s="79" t="s">
        <v>22</v>
      </c>
      <c r="D43" s="2">
        <v>615</v>
      </c>
      <c r="E43" s="2" t="s">
        <v>3</v>
      </c>
      <c r="F43" s="2">
        <v>0</v>
      </c>
      <c r="G43" s="8">
        <v>1500</v>
      </c>
      <c r="H43" s="8">
        <v>12.7</v>
      </c>
      <c r="I43" s="4" t="e">
        <f>#REF!-#REF!-#REF!/1000</f>
        <v>#REF!</v>
      </c>
      <c r="J43" s="4" t="e">
        <f>(VLOOKUP(B43,#REF!,14))</f>
        <v>#REF!</v>
      </c>
      <c r="K43" s="83" t="e">
        <f>(VLOOKUP(B43,#REF!,15))</f>
        <v>#REF!</v>
      </c>
      <c r="L43" s="4" t="e">
        <f>(VLOOKUP(B43,#REF!,8))</f>
        <v>#REF!</v>
      </c>
      <c r="M43" s="4" t="e">
        <f t="shared" si="0"/>
        <v>#REF!</v>
      </c>
      <c r="N43" s="89" t="e">
        <f>#REF!/86400</f>
        <v>#REF!</v>
      </c>
    </row>
    <row r="44" spans="2:14">
      <c r="B44" s="76">
        <v>45</v>
      </c>
      <c r="C44" s="79" t="s">
        <v>22</v>
      </c>
      <c r="D44" s="2">
        <v>627</v>
      </c>
      <c r="E44" s="2" t="s">
        <v>3</v>
      </c>
      <c r="F44" s="2">
        <v>0</v>
      </c>
      <c r="G44" s="8">
        <v>1500</v>
      </c>
      <c r="H44" s="8">
        <v>12.7</v>
      </c>
      <c r="I44" s="4" t="e">
        <f>#REF!-#REF!-#REF!/1000</f>
        <v>#REF!</v>
      </c>
      <c r="J44" s="4" t="e">
        <f>(VLOOKUP(B44,#REF!,14))</f>
        <v>#REF!</v>
      </c>
      <c r="K44" s="83" t="e">
        <f>(VLOOKUP(B44,#REF!,15))</f>
        <v>#REF!</v>
      </c>
      <c r="L44" s="4" t="e">
        <f>(VLOOKUP(B44,#REF!,8))</f>
        <v>#REF!</v>
      </c>
      <c r="M44" s="4" t="e">
        <f t="shared" si="0"/>
        <v>#REF!</v>
      </c>
      <c r="N44" s="89" t="e">
        <f>#REF!/86400</f>
        <v>#REF!</v>
      </c>
    </row>
    <row r="45" spans="2:14">
      <c r="B45" s="76">
        <v>46</v>
      </c>
      <c r="C45" s="79" t="s">
        <v>23</v>
      </c>
      <c r="D45" s="2">
        <v>633</v>
      </c>
      <c r="E45" s="2" t="s">
        <v>3</v>
      </c>
      <c r="F45" s="2">
        <v>0</v>
      </c>
      <c r="G45" s="8">
        <v>1500</v>
      </c>
      <c r="H45" s="8">
        <v>12.7</v>
      </c>
      <c r="I45" s="4" t="e">
        <f>#REF!-#REF!-#REF!/1000</f>
        <v>#REF!</v>
      </c>
      <c r="J45" s="4" t="e">
        <f>(VLOOKUP(B45,#REF!,14))</f>
        <v>#REF!</v>
      </c>
      <c r="K45" s="83" t="e">
        <f>(VLOOKUP(B45,#REF!,15))</f>
        <v>#REF!</v>
      </c>
      <c r="L45" s="4" t="e">
        <f>(VLOOKUP(B45,#REF!,8))</f>
        <v>#REF!</v>
      </c>
      <c r="M45" s="4" t="e">
        <f t="shared" si="0"/>
        <v>#REF!</v>
      </c>
      <c r="N45" s="89" t="e">
        <f>#REF!/86400</f>
        <v>#REF!</v>
      </c>
    </row>
    <row r="46" spans="2:14">
      <c r="B46" s="76">
        <v>47</v>
      </c>
      <c r="C46" s="79" t="s">
        <v>23</v>
      </c>
      <c r="D46" s="2">
        <v>637</v>
      </c>
      <c r="E46" s="2" t="s">
        <v>3</v>
      </c>
      <c r="F46" s="2">
        <v>22.92</v>
      </c>
      <c r="G46" s="8">
        <v>1500</v>
      </c>
      <c r="H46" s="8">
        <v>12.7</v>
      </c>
      <c r="I46" s="4" t="e">
        <f>#REF!-#REF!-#REF!/1000</f>
        <v>#REF!</v>
      </c>
      <c r="J46" s="4" t="e">
        <f>(VLOOKUP(B46,#REF!,14))</f>
        <v>#REF!</v>
      </c>
      <c r="K46" s="83" t="e">
        <f>(VLOOKUP(B46,#REF!,15))</f>
        <v>#REF!</v>
      </c>
      <c r="L46" s="4" t="e">
        <f>(VLOOKUP(B46,#REF!,8))</f>
        <v>#REF!</v>
      </c>
      <c r="M46" s="4" t="e">
        <f t="shared" si="0"/>
        <v>#REF!</v>
      </c>
      <c r="N46" s="89" t="e">
        <f>#REF!/86400</f>
        <v>#REF!</v>
      </c>
    </row>
    <row r="47" spans="2:14">
      <c r="B47" s="76">
        <v>48</v>
      </c>
      <c r="C47" s="79" t="s">
        <v>24</v>
      </c>
      <c r="D47" s="2">
        <v>638</v>
      </c>
      <c r="E47" s="2" t="s">
        <v>3</v>
      </c>
      <c r="F47" s="2">
        <v>0</v>
      </c>
      <c r="G47" s="8">
        <v>1500</v>
      </c>
      <c r="H47" s="8">
        <v>12.7</v>
      </c>
      <c r="I47" s="4" t="e">
        <f>#REF!-#REF!-#REF!/1000</f>
        <v>#REF!</v>
      </c>
      <c r="J47" s="4" t="e">
        <f>(VLOOKUP(B47,#REF!,14))</f>
        <v>#REF!</v>
      </c>
      <c r="K47" s="83" t="e">
        <f>(VLOOKUP(B47,#REF!,15))</f>
        <v>#REF!</v>
      </c>
      <c r="L47" s="4" t="e">
        <f>(VLOOKUP(B47,#REF!,8))</f>
        <v>#REF!</v>
      </c>
      <c r="M47" s="4" t="e">
        <f t="shared" si="0"/>
        <v>#REF!</v>
      </c>
      <c r="N47" s="89" t="e">
        <f>#REF!/86400</f>
        <v>#REF!</v>
      </c>
    </row>
    <row r="48" spans="2:14">
      <c r="B48" s="76">
        <v>49</v>
      </c>
      <c r="C48" s="79" t="s">
        <v>24</v>
      </c>
      <c r="D48" s="2">
        <v>641</v>
      </c>
      <c r="E48" s="2" t="s">
        <v>3</v>
      </c>
      <c r="F48" s="2">
        <v>11.71</v>
      </c>
      <c r="G48" s="8">
        <v>1500</v>
      </c>
      <c r="H48" s="8">
        <v>12.7</v>
      </c>
      <c r="I48" s="4" t="e">
        <f>#REF!-#REF!-#REF!/1000</f>
        <v>#REF!</v>
      </c>
      <c r="J48" s="4" t="e">
        <f>(VLOOKUP(B48,#REF!,14))</f>
        <v>#REF!</v>
      </c>
      <c r="K48" s="83" t="e">
        <f>(VLOOKUP(B48,#REF!,15))</f>
        <v>#REF!</v>
      </c>
      <c r="L48" s="4" t="e">
        <f>(VLOOKUP(B48,#REF!,8))</f>
        <v>#REF!</v>
      </c>
      <c r="M48" s="4" t="e">
        <f t="shared" si="0"/>
        <v>#REF!</v>
      </c>
      <c r="N48" s="89" t="e">
        <f>#REF!/86400</f>
        <v>#REF!</v>
      </c>
    </row>
    <row r="49" spans="2:14">
      <c r="B49" s="76">
        <v>50</v>
      </c>
      <c r="C49" s="79" t="s">
        <v>25</v>
      </c>
      <c r="D49" s="2">
        <v>646</v>
      </c>
      <c r="E49" s="2" t="s">
        <v>3</v>
      </c>
      <c r="F49" s="2">
        <v>0</v>
      </c>
      <c r="G49" s="8">
        <v>1500</v>
      </c>
      <c r="H49" s="8">
        <v>12.7</v>
      </c>
      <c r="I49" s="4" t="e">
        <f>#REF!-#REF!-#REF!/1000</f>
        <v>#REF!</v>
      </c>
      <c r="J49" s="4" t="e">
        <f>(VLOOKUP(B49,#REF!,14))</f>
        <v>#REF!</v>
      </c>
      <c r="K49" s="83" t="e">
        <f>(VLOOKUP(B49,#REF!,15))</f>
        <v>#REF!</v>
      </c>
      <c r="L49" s="4" t="e">
        <f>(VLOOKUP(B49,#REF!,8))</f>
        <v>#REF!</v>
      </c>
      <c r="M49" s="4" t="e">
        <f t="shared" si="0"/>
        <v>#REF!</v>
      </c>
      <c r="N49" s="89" t="e">
        <f>#REF!/86400</f>
        <v>#REF!</v>
      </c>
    </row>
    <row r="50" spans="2:14">
      <c r="B50" s="76">
        <v>51</v>
      </c>
      <c r="C50" s="79" t="s">
        <v>25</v>
      </c>
      <c r="D50" s="2">
        <v>648</v>
      </c>
      <c r="E50" s="2" t="s">
        <v>3</v>
      </c>
      <c r="F50" s="2">
        <v>36.19</v>
      </c>
      <c r="G50" s="8">
        <v>1500</v>
      </c>
      <c r="H50" s="8">
        <v>12.7</v>
      </c>
      <c r="I50" s="4" t="e">
        <f>#REF!-#REF!-#REF!/1000</f>
        <v>#REF!</v>
      </c>
      <c r="J50" s="4" t="e">
        <f>(VLOOKUP(B50,#REF!,14))</f>
        <v>#REF!</v>
      </c>
      <c r="K50" s="83" t="e">
        <f>(VLOOKUP(B50,#REF!,15))</f>
        <v>#REF!</v>
      </c>
      <c r="L50" s="4" t="e">
        <f>(VLOOKUP(B50,#REF!,8))</f>
        <v>#REF!</v>
      </c>
      <c r="M50" s="4" t="e">
        <f t="shared" si="0"/>
        <v>#REF!</v>
      </c>
      <c r="N50" s="89" t="e">
        <f>#REF!/86400</f>
        <v>#REF!</v>
      </c>
    </row>
    <row r="51" spans="2:14">
      <c r="B51" s="76">
        <v>52</v>
      </c>
      <c r="C51" s="79" t="s">
        <v>26</v>
      </c>
      <c r="D51" s="2">
        <v>670</v>
      </c>
      <c r="E51" s="2" t="s">
        <v>3</v>
      </c>
      <c r="F51" s="2">
        <v>0</v>
      </c>
      <c r="G51" s="8">
        <v>1500</v>
      </c>
      <c r="H51" s="8">
        <v>12.7</v>
      </c>
      <c r="I51" s="4" t="e">
        <f>#REF!-#REF!-#REF!/1000</f>
        <v>#REF!</v>
      </c>
      <c r="J51" s="4" t="e">
        <f>(VLOOKUP(B51,#REF!,14))</f>
        <v>#REF!</v>
      </c>
      <c r="K51" s="83" t="e">
        <f>(VLOOKUP(B51,#REF!,15))</f>
        <v>#REF!</v>
      </c>
      <c r="L51" s="4" t="e">
        <f>(VLOOKUP(B51,#REF!,8))</f>
        <v>#REF!</v>
      </c>
      <c r="M51" s="4" t="e">
        <f t="shared" si="0"/>
        <v>#REF!</v>
      </c>
      <c r="N51" s="89" t="e">
        <f>#REF!/86400</f>
        <v>#REF!</v>
      </c>
    </row>
    <row r="52" spans="2:14">
      <c r="B52" s="76">
        <v>53</v>
      </c>
      <c r="C52" s="79" t="s">
        <v>26</v>
      </c>
      <c r="D52" s="2">
        <v>692</v>
      </c>
      <c r="E52" s="2" t="s">
        <v>3</v>
      </c>
      <c r="F52" s="2">
        <v>0</v>
      </c>
      <c r="G52" s="8">
        <v>1500</v>
      </c>
      <c r="H52" s="8">
        <v>12.7</v>
      </c>
      <c r="I52" s="4" t="e">
        <f>#REF!-#REF!-#REF!/1000</f>
        <v>#REF!</v>
      </c>
      <c r="J52" s="4" t="e">
        <f>(VLOOKUP(B52,#REF!,14))</f>
        <v>#REF!</v>
      </c>
      <c r="K52" s="83" t="e">
        <f>(VLOOKUP(B52,#REF!,15))</f>
        <v>#REF!</v>
      </c>
      <c r="L52" s="4" t="e">
        <f>(VLOOKUP(B52,#REF!,8))</f>
        <v>#REF!</v>
      </c>
      <c r="M52" s="4" t="e">
        <f t="shared" si="0"/>
        <v>#REF!</v>
      </c>
      <c r="N52" s="89" t="e">
        <f>#REF!/86400</f>
        <v>#REF!</v>
      </c>
    </row>
    <row r="53" spans="2:14">
      <c r="B53" s="76">
        <v>54</v>
      </c>
      <c r="C53" s="79" t="s">
        <v>27</v>
      </c>
      <c r="D53" s="2">
        <v>703</v>
      </c>
      <c r="E53" s="2" t="s">
        <v>3</v>
      </c>
      <c r="F53" s="2">
        <v>6</v>
      </c>
      <c r="G53" s="8">
        <v>1500</v>
      </c>
      <c r="H53" s="8">
        <v>12.7</v>
      </c>
      <c r="I53" s="4" t="e">
        <f>#REF!-#REF!-#REF!/1000</f>
        <v>#REF!</v>
      </c>
      <c r="J53" s="4" t="e">
        <f>(VLOOKUP(B53,#REF!,14))</f>
        <v>#REF!</v>
      </c>
      <c r="K53" s="83" t="e">
        <f>(VLOOKUP(B53,#REF!,15))</f>
        <v>#REF!</v>
      </c>
      <c r="L53" s="4" t="e">
        <f>(VLOOKUP(B53,#REF!,8))</f>
        <v>#REF!</v>
      </c>
      <c r="M53" s="4" t="e">
        <f t="shared" si="0"/>
        <v>#REF!</v>
      </c>
      <c r="N53" s="89" t="e">
        <f>#REF!/86400</f>
        <v>#REF!</v>
      </c>
    </row>
    <row r="54" spans="2:14" ht="14.25" thickBot="1">
      <c r="B54" s="76">
        <v>55</v>
      </c>
      <c r="C54" s="80" t="s">
        <v>27</v>
      </c>
      <c r="D54" s="68">
        <v>704</v>
      </c>
      <c r="E54" s="68" t="s">
        <v>3</v>
      </c>
      <c r="F54" s="68">
        <v>8.32</v>
      </c>
      <c r="G54" s="69">
        <v>1500</v>
      </c>
      <c r="H54" s="69">
        <v>12.7</v>
      </c>
      <c r="I54" s="70" t="e">
        <f>#REF!-#REF!-#REF!/1000</f>
        <v>#REF!</v>
      </c>
      <c r="J54" s="70" t="e">
        <f>(VLOOKUP(B54,#REF!,14))</f>
        <v>#REF!</v>
      </c>
      <c r="K54" s="84" t="e">
        <f>(VLOOKUP(B54,#REF!,15))</f>
        <v>#REF!</v>
      </c>
      <c r="L54" s="70" t="e">
        <f>(VLOOKUP(B54,#REF!,8))</f>
        <v>#REF!</v>
      </c>
      <c r="M54" s="70" t="e">
        <f t="shared" si="0"/>
        <v>#REF!</v>
      </c>
      <c r="N54" s="90" t="e">
        <f>#REF!/86400</f>
        <v>#REF!</v>
      </c>
    </row>
    <row r="55" spans="2:14">
      <c r="B55" s="76">
        <v>56</v>
      </c>
      <c r="C55" s="109" t="s">
        <v>27</v>
      </c>
      <c r="D55" s="110">
        <v>714</v>
      </c>
      <c r="E55" s="110" t="s">
        <v>3</v>
      </c>
      <c r="F55" s="110">
        <v>0</v>
      </c>
      <c r="G55" s="65">
        <v>1500</v>
      </c>
      <c r="H55" s="65">
        <v>12.7</v>
      </c>
      <c r="I55" s="111" t="e">
        <f>#REF!-#REF!-#REF!/1000</f>
        <v>#REF!</v>
      </c>
      <c r="J55" s="111" t="e">
        <f>(VLOOKUP(B55,#REF!,14))</f>
        <v>#REF!</v>
      </c>
      <c r="K55" s="112" t="e">
        <f>(VLOOKUP(B55,#REF!,15))</f>
        <v>#REF!</v>
      </c>
      <c r="L55" s="111" t="e">
        <f>(VLOOKUP(B55,#REF!,8))</f>
        <v>#REF!</v>
      </c>
      <c r="M55" s="111" t="e">
        <f t="shared" si="0"/>
        <v>#REF!</v>
      </c>
      <c r="N55" s="113" t="e">
        <f>#REF!/86400</f>
        <v>#REF!</v>
      </c>
    </row>
    <row r="56" spans="2:14">
      <c r="B56" s="76">
        <v>57</v>
      </c>
      <c r="C56" s="79" t="s">
        <v>28</v>
      </c>
      <c r="D56" s="2">
        <v>743</v>
      </c>
      <c r="E56" s="2" t="s">
        <v>3</v>
      </c>
      <c r="F56" s="2">
        <v>13.19</v>
      </c>
      <c r="G56" s="8">
        <v>1500</v>
      </c>
      <c r="H56" s="8">
        <v>12.7</v>
      </c>
      <c r="I56" s="4" t="e">
        <f>#REF!-#REF!-#REF!/1000</f>
        <v>#REF!</v>
      </c>
      <c r="J56" s="4" t="e">
        <f>(VLOOKUP(B56,#REF!,14))</f>
        <v>#REF!</v>
      </c>
      <c r="K56" s="83" t="e">
        <f>(VLOOKUP(B56,#REF!,15))</f>
        <v>#REF!</v>
      </c>
      <c r="L56" s="4" t="e">
        <f>(VLOOKUP(B56,#REF!,8))</f>
        <v>#REF!</v>
      </c>
      <c r="M56" s="4" t="e">
        <f t="shared" si="0"/>
        <v>#REF!</v>
      </c>
      <c r="N56" s="89" t="e">
        <f>#REF!/86400</f>
        <v>#REF!</v>
      </c>
    </row>
    <row r="57" spans="2:14">
      <c r="B57" s="76">
        <v>58</v>
      </c>
      <c r="C57" s="79" t="s">
        <v>28</v>
      </c>
      <c r="D57" s="2">
        <v>757</v>
      </c>
      <c r="E57" s="2" t="s">
        <v>3</v>
      </c>
      <c r="F57" s="2">
        <v>0</v>
      </c>
      <c r="G57" s="8">
        <v>1500</v>
      </c>
      <c r="H57" s="8">
        <v>12.7</v>
      </c>
      <c r="I57" s="4" t="e">
        <f>#REF!-#REF!-#REF!/1000</f>
        <v>#REF!</v>
      </c>
      <c r="J57" s="4" t="e">
        <f>(VLOOKUP(B57,#REF!,14))</f>
        <v>#REF!</v>
      </c>
      <c r="K57" s="83" t="e">
        <f>(VLOOKUP(B57,#REF!,15))</f>
        <v>#REF!</v>
      </c>
      <c r="L57" s="4" t="e">
        <f>(VLOOKUP(B57,#REF!,8))</f>
        <v>#REF!</v>
      </c>
      <c r="M57" s="4" t="e">
        <f t="shared" si="0"/>
        <v>#REF!</v>
      </c>
      <c r="N57" s="89" t="e">
        <f>#REF!/86400</f>
        <v>#REF!</v>
      </c>
    </row>
    <row r="58" spans="2:14">
      <c r="B58" s="76">
        <v>59</v>
      </c>
      <c r="C58" s="79" t="s">
        <v>29</v>
      </c>
      <c r="D58" s="2">
        <v>793</v>
      </c>
      <c r="E58" s="2" t="s">
        <v>3</v>
      </c>
      <c r="F58" s="2">
        <v>0</v>
      </c>
      <c r="G58" s="8">
        <v>1500</v>
      </c>
      <c r="H58" s="8">
        <v>12.7</v>
      </c>
      <c r="I58" s="4" t="e">
        <f>#REF!-#REF!-#REF!/1000</f>
        <v>#REF!</v>
      </c>
      <c r="J58" s="4" t="e">
        <f>(VLOOKUP(B58,#REF!,14))</f>
        <v>#REF!</v>
      </c>
      <c r="K58" s="83" t="e">
        <f>(VLOOKUP(B58,#REF!,15))</f>
        <v>#REF!</v>
      </c>
      <c r="L58" s="4" t="e">
        <f>(VLOOKUP(B58,#REF!,8))</f>
        <v>#REF!</v>
      </c>
      <c r="M58" s="4" t="e">
        <f t="shared" si="0"/>
        <v>#REF!</v>
      </c>
      <c r="N58" s="89" t="e">
        <f>#REF!/86400</f>
        <v>#REF!</v>
      </c>
    </row>
    <row r="59" spans="2:14">
      <c r="B59" s="76">
        <v>60</v>
      </c>
      <c r="C59" s="79" t="s">
        <v>29</v>
      </c>
      <c r="D59" s="2">
        <v>798</v>
      </c>
      <c r="E59" s="2" t="s">
        <v>3</v>
      </c>
      <c r="F59" s="2">
        <v>0</v>
      </c>
      <c r="G59" s="8">
        <v>1500</v>
      </c>
      <c r="H59" s="8">
        <v>12.7</v>
      </c>
      <c r="I59" s="4" t="e">
        <f>#REF!-#REF!-#REF!/1000</f>
        <v>#REF!</v>
      </c>
      <c r="J59" s="4" t="e">
        <f>(VLOOKUP(B59,#REF!,14))</f>
        <v>#REF!</v>
      </c>
      <c r="K59" s="83" t="e">
        <f>(VLOOKUP(B59,#REF!,15))</f>
        <v>#REF!</v>
      </c>
      <c r="L59" s="4" t="e">
        <f>(VLOOKUP(B59,#REF!,8))</f>
        <v>#REF!</v>
      </c>
      <c r="M59" s="4" t="e">
        <f t="shared" si="0"/>
        <v>#REF!</v>
      </c>
      <c r="N59" s="89" t="e">
        <f>#REF!/86400</f>
        <v>#REF!</v>
      </c>
    </row>
    <row r="60" spans="2:14">
      <c r="B60" s="76">
        <v>61</v>
      </c>
      <c r="C60" s="79" t="s">
        <v>29</v>
      </c>
      <c r="D60" s="2">
        <v>806</v>
      </c>
      <c r="E60" s="2" t="s">
        <v>3</v>
      </c>
      <c r="F60" s="2">
        <v>0</v>
      </c>
      <c r="G60" s="8">
        <v>1500</v>
      </c>
      <c r="H60" s="8">
        <v>12.7</v>
      </c>
      <c r="I60" s="4" t="e">
        <f>#REF!-#REF!-#REF!/1000</f>
        <v>#REF!</v>
      </c>
      <c r="J60" s="4" t="e">
        <f>(VLOOKUP(B60,#REF!,14))</f>
        <v>#REF!</v>
      </c>
      <c r="K60" s="83" t="e">
        <f>(VLOOKUP(B60,#REF!,15))</f>
        <v>#REF!</v>
      </c>
      <c r="L60" s="4" t="e">
        <f>(VLOOKUP(B60,#REF!,8))</f>
        <v>#REF!</v>
      </c>
      <c r="M60" s="4" t="e">
        <f t="shared" si="0"/>
        <v>#REF!</v>
      </c>
      <c r="N60" s="89" t="e">
        <f>#REF!/86400</f>
        <v>#REF!</v>
      </c>
    </row>
    <row r="61" spans="2:14">
      <c r="B61" s="76">
        <v>62</v>
      </c>
      <c r="C61" s="79" t="s">
        <v>29</v>
      </c>
      <c r="D61" s="2">
        <v>817</v>
      </c>
      <c r="E61" s="2" t="s">
        <v>3</v>
      </c>
      <c r="F61" s="2">
        <v>20</v>
      </c>
      <c r="G61" s="8">
        <v>1500</v>
      </c>
      <c r="H61" s="8">
        <v>12.7</v>
      </c>
      <c r="I61" s="4" t="e">
        <f>#REF!-#REF!-#REF!/1000</f>
        <v>#REF!</v>
      </c>
      <c r="J61" s="4" t="e">
        <f>(VLOOKUP(B61,#REF!,14))</f>
        <v>#REF!</v>
      </c>
      <c r="K61" s="83" t="e">
        <f>(VLOOKUP(B61,#REF!,15))</f>
        <v>#REF!</v>
      </c>
      <c r="L61" s="4" t="e">
        <f>(VLOOKUP(B61,#REF!,8))</f>
        <v>#REF!</v>
      </c>
      <c r="M61" s="4" t="e">
        <f t="shared" si="0"/>
        <v>#REF!</v>
      </c>
      <c r="N61" s="89" t="e">
        <f>#REF!/86400</f>
        <v>#REF!</v>
      </c>
    </row>
    <row r="62" spans="2:14">
      <c r="B62" s="76">
        <v>63</v>
      </c>
      <c r="C62" s="79" t="s">
        <v>30</v>
      </c>
      <c r="D62" s="2">
        <v>834</v>
      </c>
      <c r="E62" s="2" t="s">
        <v>3</v>
      </c>
      <c r="F62" s="2">
        <v>0</v>
      </c>
      <c r="G62" s="8">
        <v>1500</v>
      </c>
      <c r="H62" s="8">
        <v>12.7</v>
      </c>
      <c r="I62" s="4" t="e">
        <f>#REF!-#REF!-#REF!/1000</f>
        <v>#REF!</v>
      </c>
      <c r="J62" s="4" t="e">
        <f>(VLOOKUP(B62,#REF!,14))</f>
        <v>#REF!</v>
      </c>
      <c r="K62" s="83" t="e">
        <f>(VLOOKUP(B62,#REF!,15))</f>
        <v>#REF!</v>
      </c>
      <c r="L62" s="4" t="e">
        <f>(VLOOKUP(B62,#REF!,8))</f>
        <v>#REF!</v>
      </c>
      <c r="M62" s="4" t="e">
        <f t="shared" si="0"/>
        <v>#REF!</v>
      </c>
      <c r="N62" s="89" t="e">
        <f>#REF!/86400</f>
        <v>#REF!</v>
      </c>
    </row>
    <row r="63" spans="2:14">
      <c r="B63" s="76">
        <v>64</v>
      </c>
      <c r="C63" s="79" t="s">
        <v>30</v>
      </c>
      <c r="D63" s="2">
        <v>834</v>
      </c>
      <c r="E63" s="2" t="s">
        <v>3</v>
      </c>
      <c r="F63" s="2">
        <v>31.14</v>
      </c>
      <c r="G63" s="8">
        <v>1500</v>
      </c>
      <c r="H63" s="8">
        <v>12.7</v>
      </c>
      <c r="I63" s="4" t="e">
        <f>#REF!-#REF!-#REF!/1000</f>
        <v>#REF!</v>
      </c>
      <c r="J63" s="4" t="e">
        <f>(VLOOKUP(B63,#REF!,14))</f>
        <v>#REF!</v>
      </c>
      <c r="K63" s="83" t="e">
        <f>(VLOOKUP(B63,#REF!,15))</f>
        <v>#REF!</v>
      </c>
      <c r="L63" s="4" t="e">
        <f>(VLOOKUP(B63,#REF!,8))</f>
        <v>#REF!</v>
      </c>
      <c r="M63" s="4" t="e">
        <f t="shared" si="0"/>
        <v>#REF!</v>
      </c>
      <c r="N63" s="89" t="e">
        <f>#REF!/86400</f>
        <v>#REF!</v>
      </c>
    </row>
    <row r="64" spans="2:14">
      <c r="B64" s="76">
        <v>65</v>
      </c>
      <c r="C64" s="79" t="s">
        <v>31</v>
      </c>
      <c r="D64" s="2">
        <v>835</v>
      </c>
      <c r="E64" s="2" t="s">
        <v>3</v>
      </c>
      <c r="F64" s="2">
        <v>16.64</v>
      </c>
      <c r="G64" s="8">
        <v>1500</v>
      </c>
      <c r="H64" s="8">
        <v>12.7</v>
      </c>
      <c r="I64" s="4" t="e">
        <f>#REF!-#REF!-#REF!/1000</f>
        <v>#REF!</v>
      </c>
      <c r="J64" s="4" t="e">
        <f>(VLOOKUP(B64,#REF!,14))</f>
        <v>#REF!</v>
      </c>
      <c r="K64" s="83" t="e">
        <f>(VLOOKUP(B64,#REF!,15))</f>
        <v>#REF!</v>
      </c>
      <c r="L64" s="4" t="e">
        <f>(VLOOKUP(B64,#REF!,8))</f>
        <v>#REF!</v>
      </c>
      <c r="M64" s="4" t="e">
        <f t="shared" si="0"/>
        <v>#REF!</v>
      </c>
      <c r="N64" s="89" t="e">
        <f>#REF!/86400</f>
        <v>#REF!</v>
      </c>
    </row>
    <row r="65" spans="2:14">
      <c r="B65" s="76">
        <v>66</v>
      </c>
      <c r="C65" s="79" t="s">
        <v>31</v>
      </c>
      <c r="D65" s="2">
        <v>837</v>
      </c>
      <c r="E65" s="2" t="s">
        <v>3</v>
      </c>
      <c r="F65" s="2">
        <v>0</v>
      </c>
      <c r="G65" s="8">
        <v>1500</v>
      </c>
      <c r="H65" s="8">
        <v>12.7</v>
      </c>
      <c r="I65" s="4" t="e">
        <f>#REF!-#REF!-#REF!/1000</f>
        <v>#REF!</v>
      </c>
      <c r="J65" s="4" t="e">
        <f>(VLOOKUP(B65,#REF!,14))</f>
        <v>#REF!</v>
      </c>
      <c r="K65" s="83" t="e">
        <f>(VLOOKUP(B65,#REF!,15))</f>
        <v>#REF!</v>
      </c>
      <c r="L65" s="4" t="e">
        <f>(VLOOKUP(B65,#REF!,8))</f>
        <v>#REF!</v>
      </c>
      <c r="M65" s="4" t="e">
        <f t="shared" ref="M65:M67" si="1">K65-L65</f>
        <v>#REF!</v>
      </c>
      <c r="N65" s="89" t="e">
        <f>#REF!/86400</f>
        <v>#REF!</v>
      </c>
    </row>
    <row r="66" spans="2:14">
      <c r="B66" s="76">
        <v>67</v>
      </c>
      <c r="C66" s="79" t="s">
        <v>32</v>
      </c>
      <c r="D66" s="2">
        <v>871</v>
      </c>
      <c r="E66" s="2" t="s">
        <v>3</v>
      </c>
      <c r="F66" s="2">
        <v>0</v>
      </c>
      <c r="G66" s="8">
        <v>1500</v>
      </c>
      <c r="H66" s="8">
        <v>12.7</v>
      </c>
      <c r="I66" s="4" t="e">
        <f>#REF!-#REF!-#REF!/1000</f>
        <v>#REF!</v>
      </c>
      <c r="J66" s="4" t="e">
        <f>(VLOOKUP(B66,#REF!,14))</f>
        <v>#REF!</v>
      </c>
      <c r="K66" s="83" t="e">
        <f>(VLOOKUP(B66,#REF!,15))</f>
        <v>#REF!</v>
      </c>
      <c r="L66" s="4" t="e">
        <f>(VLOOKUP(B66,#REF!,8))</f>
        <v>#REF!</v>
      </c>
      <c r="M66" s="4" t="e">
        <f t="shared" si="1"/>
        <v>#REF!</v>
      </c>
      <c r="N66" s="89" t="e">
        <f>#REF!/86400</f>
        <v>#REF!</v>
      </c>
    </row>
    <row r="67" spans="2:14" ht="14.25" thickBot="1">
      <c r="B67" s="77">
        <v>68</v>
      </c>
      <c r="C67" s="80" t="s">
        <v>32</v>
      </c>
      <c r="D67" s="68">
        <v>881</v>
      </c>
      <c r="E67" s="68" t="s">
        <v>3</v>
      </c>
      <c r="F67" s="68">
        <v>38.770000000000003</v>
      </c>
      <c r="G67" s="69">
        <v>1500</v>
      </c>
      <c r="H67" s="69">
        <v>12.7</v>
      </c>
      <c r="I67" s="70" t="e">
        <f>#REF!-#REF!-#REF!/1000</f>
        <v>#REF!</v>
      </c>
      <c r="J67" s="70" t="e">
        <f>(VLOOKUP(B67,#REF!,14))</f>
        <v>#REF!</v>
      </c>
      <c r="K67" s="84" t="e">
        <f>(VLOOKUP(B67,#REF!,15))</f>
        <v>#REF!</v>
      </c>
      <c r="L67" s="70" t="e">
        <f>(VLOOKUP(B67,#REF!,8))</f>
        <v>#REF!</v>
      </c>
      <c r="M67" s="70" t="e">
        <f t="shared" si="1"/>
        <v>#REF!</v>
      </c>
      <c r="N67" s="90" t="e">
        <f>#REF!/86400</f>
        <v>#REF!</v>
      </c>
    </row>
  </sheetData>
  <mergeCells count="2">
    <mergeCell ref="D2:F2"/>
    <mergeCell ref="C1:N1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79" orientation="portrait" r:id="rId1"/>
  <rowBreaks count="1" manualBreakCount="1">
    <brk id="54" min="1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9416-22EC-4437-806C-E40359E62EA0}">
  <dimension ref="A2:P70"/>
  <sheetViews>
    <sheetView view="pageBreakPreview" zoomScaleNormal="85" zoomScaleSheetLayoutView="100" workbookViewId="0">
      <selection activeCell="L7" sqref="L7"/>
    </sheetView>
  </sheetViews>
  <sheetFormatPr defaultRowHeight="13.5"/>
  <cols>
    <col min="1" max="1" width="3.5546875" bestFit="1" customWidth="1"/>
    <col min="2" max="2" width="5.5546875" bestFit="1" customWidth="1"/>
    <col min="3" max="3" width="4.5546875" bestFit="1" customWidth="1"/>
    <col min="4" max="4" width="2.44140625" bestFit="1" customWidth="1"/>
    <col min="5" max="5" width="6.5546875" bestFit="1" customWidth="1"/>
    <col min="6" max="6" width="5.77734375" bestFit="1" customWidth="1"/>
    <col min="7" max="8" width="6.88671875" bestFit="1" customWidth="1"/>
    <col min="9" max="9" width="8.6640625" bestFit="1" customWidth="1"/>
    <col min="10" max="10" width="13.109375" bestFit="1" customWidth="1"/>
    <col min="11" max="11" width="8.6640625" bestFit="1" customWidth="1"/>
    <col min="12" max="12" width="10.44140625" bestFit="1" customWidth="1"/>
    <col min="13" max="13" width="8.5546875" bestFit="1" customWidth="1"/>
    <col min="14" max="14" width="5.109375" hidden="1" customWidth="1"/>
    <col min="15" max="15" width="13.6640625" bestFit="1" customWidth="1"/>
    <col min="16" max="16" width="12" bestFit="1" customWidth="1"/>
  </cols>
  <sheetData>
    <row r="2" spans="1:16">
      <c r="I2" s="201" t="s">
        <v>157</v>
      </c>
      <c r="J2" s="201"/>
      <c r="K2" s="201"/>
      <c r="L2" s="201"/>
    </row>
    <row r="3" spans="1:16">
      <c r="I3" s="201"/>
      <c r="J3" s="201"/>
      <c r="K3" s="201"/>
      <c r="L3" s="201"/>
    </row>
    <row r="4" spans="1:16" ht="14.25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7.75" thickBot="1">
      <c r="A5" s="93"/>
      <c r="B5" s="91" t="s">
        <v>0</v>
      </c>
      <c r="C5" s="198" t="s">
        <v>146</v>
      </c>
      <c r="D5" s="198"/>
      <c r="E5" s="198"/>
      <c r="F5" s="86" t="s">
        <v>148</v>
      </c>
      <c r="G5" s="86" t="s">
        <v>147</v>
      </c>
      <c r="H5" s="86" t="s">
        <v>149</v>
      </c>
      <c r="I5" s="86" t="s">
        <v>150</v>
      </c>
      <c r="J5" s="86" t="s">
        <v>151</v>
      </c>
      <c r="K5" s="86" t="s">
        <v>152</v>
      </c>
      <c r="L5" s="86" t="s">
        <v>153</v>
      </c>
      <c r="M5" s="86" t="s">
        <v>155</v>
      </c>
      <c r="N5" s="105"/>
      <c r="O5" s="86" t="s">
        <v>156</v>
      </c>
      <c r="P5" s="87" t="s">
        <v>38</v>
      </c>
    </row>
    <row r="6" spans="1:16">
      <c r="A6" s="59">
        <f>'2. 안전성 검토_계산조건'!B3</f>
        <v>1</v>
      </c>
      <c r="B6" s="71" t="str">
        <f>'2. 안전성 검토_계산조건'!C3</f>
        <v>A-01</v>
      </c>
      <c r="C6" s="21">
        <f>'2. 안전성 검토_계산조건'!D3</f>
        <v>0</v>
      </c>
      <c r="D6" s="21" t="str">
        <f>'2. 안전성 검토_계산조건'!E3</f>
        <v>+</v>
      </c>
      <c r="E6" s="21">
        <f>'2. 안전성 검토_계산조건'!F3</f>
        <v>37.1</v>
      </c>
      <c r="F6" s="21">
        <f>'2. 안전성 검토_계산조건'!G3</f>
        <v>1500</v>
      </c>
      <c r="G6" s="21">
        <f>'2. 안전성 검토_계산조건'!H3</f>
        <v>12.7</v>
      </c>
      <c r="H6" s="100" t="e">
        <f>'2. 안전성 검토_계산조건'!I3</f>
        <v>#REF!</v>
      </c>
      <c r="I6" s="21" t="e">
        <f>'2. 안전성 검토_계산조건'!J3</f>
        <v>#REF!</v>
      </c>
      <c r="J6" s="21" t="e">
        <f>'2. 안전성 검토_계산조건'!K3</f>
        <v>#REF!</v>
      </c>
      <c r="K6" s="21" t="e">
        <f>'2. 안전성 검토_계산조건'!L3</f>
        <v>#REF!</v>
      </c>
      <c r="L6" s="21" t="e">
        <f>'2. 안전성 검토_계산조건'!M3</f>
        <v>#REF!</v>
      </c>
      <c r="M6" s="101" t="e">
        <f>'2. 안전성 검토_계산조건'!N3</f>
        <v>#REF!</v>
      </c>
      <c r="N6" s="102"/>
      <c r="O6" s="103">
        <f>(F6+508)/400</f>
        <v>5.0199999999999996</v>
      </c>
      <c r="P6" s="104" t="str">
        <f>IF(G6&gt;O6,"OK","NG")</f>
        <v>OK</v>
      </c>
    </row>
    <row r="7" spans="1:16">
      <c r="A7" s="59">
        <f>'2. 안전성 검토_계산조건'!B4</f>
        <v>2</v>
      </c>
      <c r="B7" s="66" t="str">
        <f>'2. 안전성 검토_계산조건'!C4</f>
        <v>A-01</v>
      </c>
      <c r="C7" s="8">
        <f>'2. 안전성 검토_계산조건'!D4</f>
        <v>9</v>
      </c>
      <c r="D7" s="8" t="str">
        <f>'2. 안전성 검토_계산조건'!E4</f>
        <v>+</v>
      </c>
      <c r="E7" s="8">
        <f>'2. 안전성 검토_계산조건'!F4</f>
        <v>5.81</v>
      </c>
      <c r="F7" s="8">
        <f>'2. 안전성 검토_계산조건'!G4</f>
        <v>1500</v>
      </c>
      <c r="G7" s="8">
        <f>'2. 안전성 검토_계산조건'!H4</f>
        <v>12.7</v>
      </c>
      <c r="H7" s="15" t="e">
        <f>'2. 안전성 검토_계산조건'!I4</f>
        <v>#REF!</v>
      </c>
      <c r="I7" s="8" t="e">
        <f>'2. 안전성 검토_계산조건'!J4</f>
        <v>#REF!</v>
      </c>
      <c r="J7" s="8" t="e">
        <f>'2. 안전성 검토_계산조건'!K4</f>
        <v>#REF!</v>
      </c>
      <c r="K7" s="8" t="e">
        <f>'2. 안전성 검토_계산조건'!L4</f>
        <v>#REF!</v>
      </c>
      <c r="L7" s="8" t="e">
        <f>'2. 안전성 검토_계산조건'!M4</f>
        <v>#REF!</v>
      </c>
      <c r="M7" s="22" t="e">
        <f>'2. 안전성 검토_계산조건'!N4</f>
        <v>#REF!</v>
      </c>
      <c r="N7" s="94"/>
      <c r="O7" s="103">
        <f t="shared" ref="O7:O70" si="0">(F7+508)/400</f>
        <v>5.0199999999999996</v>
      </c>
      <c r="P7" s="95" t="str">
        <f t="shared" ref="P7:P67" si="1">IF(G7&gt;O7,"OK","NG")</f>
        <v>OK</v>
      </c>
    </row>
    <row r="8" spans="1:16">
      <c r="A8" s="59">
        <f>'2. 안전성 검토_계산조건'!B5</f>
        <v>3</v>
      </c>
      <c r="B8" s="66" t="str">
        <f>'2. 안전성 검토_계산조건'!C5</f>
        <v>A-01</v>
      </c>
      <c r="C8" s="8">
        <f>'2. 안전성 검토_계산조건'!D5</f>
        <v>11</v>
      </c>
      <c r="D8" s="8" t="str">
        <f>'2. 안전성 검토_계산조건'!E5</f>
        <v>+</v>
      </c>
      <c r="E8" s="8">
        <f>'2. 안전성 검토_계산조건'!F5</f>
        <v>0</v>
      </c>
      <c r="F8" s="8">
        <f>'2. 안전성 검토_계산조건'!G5</f>
        <v>1500</v>
      </c>
      <c r="G8" s="8">
        <f>'2. 안전성 검토_계산조건'!H5</f>
        <v>12.7</v>
      </c>
      <c r="H8" s="15" t="e">
        <f>'2. 안전성 검토_계산조건'!I5</f>
        <v>#REF!</v>
      </c>
      <c r="I8" s="8" t="e">
        <f>'2. 안전성 검토_계산조건'!J5</f>
        <v>#REF!</v>
      </c>
      <c r="J8" s="8" t="e">
        <f>'2. 안전성 검토_계산조건'!K5</f>
        <v>#REF!</v>
      </c>
      <c r="K8" s="8" t="e">
        <f>'2. 안전성 검토_계산조건'!L5</f>
        <v>#REF!</v>
      </c>
      <c r="L8" s="8" t="e">
        <f>'2. 안전성 검토_계산조건'!M5</f>
        <v>#REF!</v>
      </c>
      <c r="M8" s="22" t="e">
        <f>'2. 안전성 검토_계산조건'!N5</f>
        <v>#REF!</v>
      </c>
      <c r="N8" s="94"/>
      <c r="O8" s="103">
        <f t="shared" si="0"/>
        <v>5.0199999999999996</v>
      </c>
      <c r="P8" s="95" t="str">
        <f t="shared" si="1"/>
        <v>OK</v>
      </c>
    </row>
    <row r="9" spans="1:16">
      <c r="A9" s="59">
        <f>'2. 안전성 검토_계산조건'!B6</f>
        <v>4</v>
      </c>
      <c r="B9" s="66" t="str">
        <f>'2. 안전성 검토_계산조건'!C6</f>
        <v>A-02</v>
      </c>
      <c r="C9" s="8">
        <f>'2. 안전성 검토_계산조건'!D6</f>
        <v>22</v>
      </c>
      <c r="D9" s="8" t="str">
        <f>'2. 안전성 검토_계산조건'!E6</f>
        <v>+</v>
      </c>
      <c r="E9" s="8">
        <f>'2. 안전성 검토_계산조건'!F6</f>
        <v>9.3000000000000007</v>
      </c>
      <c r="F9" s="8">
        <f>'2. 안전성 검토_계산조건'!G6</f>
        <v>1500</v>
      </c>
      <c r="G9" s="8">
        <f>'2. 안전성 검토_계산조건'!H6</f>
        <v>12.7</v>
      </c>
      <c r="H9" s="15" t="e">
        <f>'2. 안전성 검토_계산조건'!I6</f>
        <v>#REF!</v>
      </c>
      <c r="I9" s="8" t="e">
        <f>'2. 안전성 검토_계산조건'!J6</f>
        <v>#REF!</v>
      </c>
      <c r="J9" s="8" t="e">
        <f>'2. 안전성 검토_계산조건'!K6</f>
        <v>#REF!</v>
      </c>
      <c r="K9" s="8" t="e">
        <f>'2. 안전성 검토_계산조건'!L6</f>
        <v>#REF!</v>
      </c>
      <c r="L9" s="8" t="e">
        <f>'2. 안전성 검토_계산조건'!M6</f>
        <v>#REF!</v>
      </c>
      <c r="M9" s="22" t="e">
        <f>'2. 안전성 검토_계산조건'!N6</f>
        <v>#REF!</v>
      </c>
      <c r="N9" s="94"/>
      <c r="O9" s="103">
        <f t="shared" si="0"/>
        <v>5.0199999999999996</v>
      </c>
      <c r="P9" s="95" t="str">
        <f t="shared" si="1"/>
        <v>OK</v>
      </c>
    </row>
    <row r="10" spans="1:16">
      <c r="A10" s="59">
        <f>'2. 안전성 검토_계산조건'!B7</f>
        <v>5</v>
      </c>
      <c r="B10" s="66" t="str">
        <f>'2. 안전성 검토_계산조건'!C7</f>
        <v>A-02</v>
      </c>
      <c r="C10" s="8">
        <f>'2. 안전성 검토_계산조건'!D7</f>
        <v>49</v>
      </c>
      <c r="D10" s="8" t="str">
        <f>'2. 안전성 검토_계산조건'!E7</f>
        <v>+</v>
      </c>
      <c r="E10" s="8">
        <f>'2. 안전성 검토_계산조건'!F7</f>
        <v>0</v>
      </c>
      <c r="F10" s="8">
        <f>'2. 안전성 검토_계산조건'!G7</f>
        <v>1500</v>
      </c>
      <c r="G10" s="8">
        <f>'2. 안전성 검토_계산조건'!H7</f>
        <v>12.7</v>
      </c>
      <c r="H10" s="15" t="e">
        <f>'2. 안전성 검토_계산조건'!I7</f>
        <v>#REF!</v>
      </c>
      <c r="I10" s="8" t="e">
        <f>'2. 안전성 검토_계산조건'!J7</f>
        <v>#REF!</v>
      </c>
      <c r="J10" s="8" t="e">
        <f>'2. 안전성 검토_계산조건'!K7</f>
        <v>#REF!</v>
      </c>
      <c r="K10" s="8" t="e">
        <f>'2. 안전성 검토_계산조건'!L7</f>
        <v>#REF!</v>
      </c>
      <c r="L10" s="8" t="e">
        <f>'2. 안전성 검토_계산조건'!M7</f>
        <v>#REF!</v>
      </c>
      <c r="M10" s="22" t="e">
        <f>'2. 안전성 검토_계산조건'!N7</f>
        <v>#REF!</v>
      </c>
      <c r="N10" s="94"/>
      <c r="O10" s="103">
        <f t="shared" si="0"/>
        <v>5.0199999999999996</v>
      </c>
      <c r="P10" s="95" t="str">
        <f t="shared" si="1"/>
        <v>OK</v>
      </c>
    </row>
    <row r="11" spans="1:16">
      <c r="A11" s="59">
        <f>'2. 안전성 검토_계산조건'!B8</f>
        <v>6</v>
      </c>
      <c r="B11" s="66" t="str">
        <f>'2. 안전성 검토_계산조건'!C8</f>
        <v>A-03</v>
      </c>
      <c r="C11" s="8">
        <f>'2. 안전성 검토_계산조건'!D8</f>
        <v>120</v>
      </c>
      <c r="D11" s="8" t="str">
        <f>'2. 안전성 검토_계산조건'!E8</f>
        <v>+</v>
      </c>
      <c r="E11" s="8">
        <f>'2. 안전성 검토_계산조건'!F8</f>
        <v>0</v>
      </c>
      <c r="F11" s="8">
        <f>'2. 안전성 검토_계산조건'!G8</f>
        <v>1500</v>
      </c>
      <c r="G11" s="8">
        <f>'2. 안전성 검토_계산조건'!H8</f>
        <v>12.7</v>
      </c>
      <c r="H11" s="15" t="e">
        <f>'2. 안전성 검토_계산조건'!I8</f>
        <v>#REF!</v>
      </c>
      <c r="I11" s="8" t="e">
        <f>'2. 안전성 검토_계산조건'!J8</f>
        <v>#REF!</v>
      </c>
      <c r="J11" s="8" t="e">
        <f>'2. 안전성 검토_계산조건'!K8</f>
        <v>#REF!</v>
      </c>
      <c r="K11" s="8" t="e">
        <f>'2. 안전성 검토_계산조건'!L8</f>
        <v>#REF!</v>
      </c>
      <c r="L11" s="8" t="e">
        <f>'2. 안전성 검토_계산조건'!M8</f>
        <v>#REF!</v>
      </c>
      <c r="M11" s="22" t="e">
        <f>'2. 안전성 검토_계산조건'!N8</f>
        <v>#REF!</v>
      </c>
      <c r="N11" s="94"/>
      <c r="O11" s="103">
        <f t="shared" si="0"/>
        <v>5.0199999999999996</v>
      </c>
      <c r="P11" s="95" t="str">
        <f t="shared" si="1"/>
        <v>OK</v>
      </c>
    </row>
    <row r="12" spans="1:16">
      <c r="A12" s="59">
        <f>'2. 안전성 검토_계산조건'!B9</f>
        <v>7</v>
      </c>
      <c r="B12" s="66" t="str">
        <f>'2. 안전성 검토_계산조건'!C9</f>
        <v>A-03</v>
      </c>
      <c r="C12" s="8">
        <f>'2. 안전성 검토_계산조건'!D9</f>
        <v>128</v>
      </c>
      <c r="D12" s="8" t="str">
        <f>'2. 안전성 검토_계산조건'!E9</f>
        <v>+</v>
      </c>
      <c r="E12" s="8">
        <f>'2. 안전성 검토_계산조건'!F9</f>
        <v>15</v>
      </c>
      <c r="F12" s="8">
        <f>'2. 안전성 검토_계산조건'!G9</f>
        <v>1500</v>
      </c>
      <c r="G12" s="8">
        <f>'2. 안전성 검토_계산조건'!H9</f>
        <v>12.7</v>
      </c>
      <c r="H12" s="15" t="e">
        <f>'2. 안전성 검토_계산조건'!I9</f>
        <v>#REF!</v>
      </c>
      <c r="I12" s="8" t="e">
        <f>'2. 안전성 검토_계산조건'!J9</f>
        <v>#REF!</v>
      </c>
      <c r="J12" s="8" t="e">
        <f>'2. 안전성 검토_계산조건'!K9</f>
        <v>#REF!</v>
      </c>
      <c r="K12" s="8" t="e">
        <f>'2. 안전성 검토_계산조건'!L9</f>
        <v>#REF!</v>
      </c>
      <c r="L12" s="8" t="e">
        <f>'2. 안전성 검토_계산조건'!M9</f>
        <v>#REF!</v>
      </c>
      <c r="M12" s="22" t="e">
        <f>'2. 안전성 검토_계산조건'!N9</f>
        <v>#REF!</v>
      </c>
      <c r="N12" s="94"/>
      <c r="O12" s="103">
        <f t="shared" si="0"/>
        <v>5.0199999999999996</v>
      </c>
      <c r="P12" s="95" t="str">
        <f t="shared" si="1"/>
        <v>OK</v>
      </c>
    </row>
    <row r="13" spans="1:16">
      <c r="A13" s="59">
        <f>'2. 안전성 검토_계산조건'!B10</f>
        <v>8</v>
      </c>
      <c r="B13" s="66" t="str">
        <f>'2. 안전성 검토_계산조건'!C10</f>
        <v>A-03</v>
      </c>
      <c r="C13" s="8">
        <f>'2. 안전성 검토_계산조건'!D10</f>
        <v>129</v>
      </c>
      <c r="D13" s="8" t="str">
        <f>'2. 안전성 검토_계산조건'!E10</f>
        <v>+</v>
      </c>
      <c r="E13" s="8">
        <f>'2. 안전성 검토_계산조건'!F10</f>
        <v>0</v>
      </c>
      <c r="F13" s="8">
        <f>'2. 안전성 검토_계산조건'!G10</f>
        <v>1500</v>
      </c>
      <c r="G13" s="8">
        <f>'2. 안전성 검토_계산조건'!H10</f>
        <v>12.7</v>
      </c>
      <c r="H13" s="15" t="e">
        <f>'2. 안전성 검토_계산조건'!I10</f>
        <v>#REF!</v>
      </c>
      <c r="I13" s="8" t="e">
        <f>'2. 안전성 검토_계산조건'!J10</f>
        <v>#REF!</v>
      </c>
      <c r="J13" s="8" t="e">
        <f>'2. 안전성 검토_계산조건'!K10</f>
        <v>#REF!</v>
      </c>
      <c r="K13" s="8" t="e">
        <f>'2. 안전성 검토_계산조건'!L10</f>
        <v>#REF!</v>
      </c>
      <c r="L13" s="8" t="e">
        <f>'2. 안전성 검토_계산조건'!M10</f>
        <v>#REF!</v>
      </c>
      <c r="M13" s="22" t="e">
        <f>'2. 안전성 검토_계산조건'!N10</f>
        <v>#REF!</v>
      </c>
      <c r="N13" s="94"/>
      <c r="O13" s="103">
        <f t="shared" si="0"/>
        <v>5.0199999999999996</v>
      </c>
      <c r="P13" s="95" t="str">
        <f t="shared" si="1"/>
        <v>OK</v>
      </c>
    </row>
    <row r="14" spans="1:16">
      <c r="A14" s="59">
        <f>'2. 안전성 검토_계산조건'!B11</f>
        <v>9</v>
      </c>
      <c r="B14" s="66" t="str">
        <f>'2. 안전성 검토_계산조건'!C11</f>
        <v>A-04</v>
      </c>
      <c r="C14" s="8">
        <f>'2. 안전성 검토_계산조건'!D11</f>
        <v>154</v>
      </c>
      <c r="D14" s="8" t="str">
        <f>'2. 안전성 검토_계산조건'!E11</f>
        <v>+</v>
      </c>
      <c r="E14" s="8">
        <f>'2. 안전성 검토_계산조건'!F11</f>
        <v>36</v>
      </c>
      <c r="F14" s="8">
        <f>'2. 안전성 검토_계산조건'!G11</f>
        <v>1500</v>
      </c>
      <c r="G14" s="8">
        <f>'2. 안전성 검토_계산조건'!H11</f>
        <v>12.7</v>
      </c>
      <c r="H14" s="15" t="e">
        <f>'2. 안전성 검토_계산조건'!I11</f>
        <v>#REF!</v>
      </c>
      <c r="I14" s="8" t="e">
        <f>'2. 안전성 검토_계산조건'!J11</f>
        <v>#REF!</v>
      </c>
      <c r="J14" s="8" t="e">
        <f>'2. 안전성 검토_계산조건'!K11</f>
        <v>#REF!</v>
      </c>
      <c r="K14" s="8" t="e">
        <f>'2. 안전성 검토_계산조건'!L11</f>
        <v>#REF!</v>
      </c>
      <c r="L14" s="8" t="e">
        <f>'2. 안전성 검토_계산조건'!M11</f>
        <v>#REF!</v>
      </c>
      <c r="M14" s="22" t="e">
        <f>'2. 안전성 검토_계산조건'!N11</f>
        <v>#REF!</v>
      </c>
      <c r="N14" s="94"/>
      <c r="O14" s="103">
        <f t="shared" si="0"/>
        <v>5.0199999999999996</v>
      </c>
      <c r="P14" s="95" t="str">
        <f t="shared" si="1"/>
        <v>OK</v>
      </c>
    </row>
    <row r="15" spans="1:16">
      <c r="A15" s="59">
        <f>'2. 안전성 검토_계산조건'!B12</f>
        <v>10</v>
      </c>
      <c r="B15" s="66" t="str">
        <f>'2. 안전성 검토_계산조건'!C12</f>
        <v>A-04</v>
      </c>
      <c r="C15" s="8">
        <f>'2. 안전성 검토_계산조건'!D12</f>
        <v>155</v>
      </c>
      <c r="D15" s="8" t="str">
        <f>'2. 안전성 검토_계산조건'!E12</f>
        <v>+</v>
      </c>
      <c r="E15" s="8">
        <f>'2. 안전성 검토_계산조건'!F12</f>
        <v>11.1</v>
      </c>
      <c r="F15" s="8">
        <f>'2. 안전성 검토_계산조건'!G12</f>
        <v>1500</v>
      </c>
      <c r="G15" s="8">
        <f>'2. 안전성 검토_계산조건'!H12</f>
        <v>12.7</v>
      </c>
      <c r="H15" s="15" t="e">
        <f>'2. 안전성 검토_계산조건'!I12</f>
        <v>#REF!</v>
      </c>
      <c r="I15" s="8" t="e">
        <f>'2. 안전성 검토_계산조건'!J12</f>
        <v>#REF!</v>
      </c>
      <c r="J15" s="8" t="e">
        <f>'2. 안전성 검토_계산조건'!K12</f>
        <v>#REF!</v>
      </c>
      <c r="K15" s="8" t="e">
        <f>'2. 안전성 검토_계산조건'!L12</f>
        <v>#REF!</v>
      </c>
      <c r="L15" s="8" t="e">
        <f>'2. 안전성 검토_계산조건'!M12</f>
        <v>#REF!</v>
      </c>
      <c r="M15" s="22" t="e">
        <f>'2. 안전성 검토_계산조건'!N12</f>
        <v>#REF!</v>
      </c>
      <c r="N15" s="94"/>
      <c r="O15" s="103">
        <f t="shared" si="0"/>
        <v>5.0199999999999996</v>
      </c>
      <c r="P15" s="95" t="str">
        <f t="shared" si="1"/>
        <v>OK</v>
      </c>
    </row>
    <row r="16" spans="1:16">
      <c r="A16" s="59">
        <f>'2. 안전성 검토_계산조건'!B13</f>
        <v>12</v>
      </c>
      <c r="B16" s="66" t="str">
        <f>'2. 안전성 검토_계산조건'!C13</f>
        <v>A-05</v>
      </c>
      <c r="C16" s="8">
        <f>'2. 안전성 검토_계산조건'!D13</f>
        <v>182</v>
      </c>
      <c r="D16" s="8" t="str">
        <f>'2. 안전성 검토_계산조건'!E13</f>
        <v>+</v>
      </c>
      <c r="E16" s="8">
        <f>'2. 안전성 검토_계산조건'!F13</f>
        <v>33</v>
      </c>
      <c r="F16" s="8">
        <f>'2. 안전성 검토_계산조건'!G13</f>
        <v>1500</v>
      </c>
      <c r="G16" s="8">
        <f>'2. 안전성 검토_계산조건'!H13</f>
        <v>12.7</v>
      </c>
      <c r="H16" s="15" t="e">
        <f>'2. 안전성 검토_계산조건'!I13</f>
        <v>#REF!</v>
      </c>
      <c r="I16" s="8" t="e">
        <f>'2. 안전성 검토_계산조건'!J13</f>
        <v>#REF!</v>
      </c>
      <c r="J16" s="8" t="e">
        <f>'2. 안전성 검토_계산조건'!K13</f>
        <v>#REF!</v>
      </c>
      <c r="K16" s="8" t="e">
        <f>'2. 안전성 검토_계산조건'!L13</f>
        <v>#REF!</v>
      </c>
      <c r="L16" s="8" t="e">
        <f>'2. 안전성 검토_계산조건'!M13</f>
        <v>#REF!</v>
      </c>
      <c r="M16" s="22" t="e">
        <f>'2. 안전성 검토_계산조건'!N13</f>
        <v>#REF!</v>
      </c>
      <c r="N16" s="94"/>
      <c r="O16" s="103">
        <f t="shared" si="0"/>
        <v>5.0199999999999996</v>
      </c>
      <c r="P16" s="95" t="str">
        <f t="shared" si="1"/>
        <v>OK</v>
      </c>
    </row>
    <row r="17" spans="1:16">
      <c r="A17" s="59">
        <f>'2. 안전성 검토_계산조건'!B14</f>
        <v>13</v>
      </c>
      <c r="B17" s="66" t="str">
        <f>'2. 안전성 검토_계산조건'!C14</f>
        <v>A-05</v>
      </c>
      <c r="C17" s="8">
        <f>'2. 안전성 검토_계산조건'!D14</f>
        <v>192</v>
      </c>
      <c r="D17" s="8" t="str">
        <f>'2. 안전성 검토_계산조건'!E14</f>
        <v>+</v>
      </c>
      <c r="E17" s="8">
        <f>'2. 안전성 검토_계산조건'!F14</f>
        <v>16.39</v>
      </c>
      <c r="F17" s="8">
        <f>'2. 안전성 검토_계산조건'!G14</f>
        <v>1500</v>
      </c>
      <c r="G17" s="8">
        <f>'2. 안전성 검토_계산조건'!H14</f>
        <v>12.7</v>
      </c>
      <c r="H17" s="15" t="e">
        <f>'2. 안전성 검토_계산조건'!I14</f>
        <v>#REF!</v>
      </c>
      <c r="I17" s="8" t="e">
        <f>'2. 안전성 검토_계산조건'!J14</f>
        <v>#REF!</v>
      </c>
      <c r="J17" s="8" t="e">
        <f>'2. 안전성 검토_계산조건'!K14</f>
        <v>#REF!</v>
      </c>
      <c r="K17" s="8" t="e">
        <f>'2. 안전성 검토_계산조건'!L14</f>
        <v>#REF!</v>
      </c>
      <c r="L17" s="8" t="e">
        <f>'2. 안전성 검토_계산조건'!M14</f>
        <v>#REF!</v>
      </c>
      <c r="M17" s="22" t="e">
        <f>'2. 안전성 검토_계산조건'!N14</f>
        <v>#REF!</v>
      </c>
      <c r="N17" s="94"/>
      <c r="O17" s="103">
        <f t="shared" si="0"/>
        <v>5.0199999999999996</v>
      </c>
      <c r="P17" s="95" t="str">
        <f t="shared" si="1"/>
        <v>OK</v>
      </c>
    </row>
    <row r="18" spans="1:16">
      <c r="A18" s="59">
        <f>'2. 안전성 검토_계산조건'!B15</f>
        <v>14</v>
      </c>
      <c r="B18" s="66" t="str">
        <f>'2. 안전성 검토_계산조건'!C15</f>
        <v>A-06</v>
      </c>
      <c r="C18" s="8">
        <f>'2. 안전성 검토_계산조건'!D15</f>
        <v>213</v>
      </c>
      <c r="D18" s="8" t="str">
        <f>'2. 안전성 검토_계산조건'!E15</f>
        <v>+</v>
      </c>
      <c r="E18" s="8">
        <f>'2. 안전성 검토_계산조건'!F15</f>
        <v>23.06</v>
      </c>
      <c r="F18" s="8">
        <f>'2. 안전성 검토_계산조건'!G15</f>
        <v>1500</v>
      </c>
      <c r="G18" s="8">
        <f>'2. 안전성 검토_계산조건'!H15</f>
        <v>12.7</v>
      </c>
      <c r="H18" s="15" t="e">
        <f>'2. 안전성 검토_계산조건'!I15</f>
        <v>#REF!</v>
      </c>
      <c r="I18" s="8" t="e">
        <f>'2. 안전성 검토_계산조건'!J15</f>
        <v>#REF!</v>
      </c>
      <c r="J18" s="8" t="e">
        <f>'2. 안전성 검토_계산조건'!K15</f>
        <v>#REF!</v>
      </c>
      <c r="K18" s="8" t="e">
        <f>'2. 안전성 검토_계산조건'!L15</f>
        <v>#REF!</v>
      </c>
      <c r="L18" s="8" t="e">
        <f>'2. 안전성 검토_계산조건'!M15</f>
        <v>#REF!</v>
      </c>
      <c r="M18" s="22" t="e">
        <f>'2. 안전성 검토_계산조건'!N15</f>
        <v>#REF!</v>
      </c>
      <c r="N18" s="94"/>
      <c r="O18" s="103">
        <f t="shared" si="0"/>
        <v>5.0199999999999996</v>
      </c>
      <c r="P18" s="95" t="str">
        <f t="shared" si="1"/>
        <v>OK</v>
      </c>
    </row>
    <row r="19" spans="1:16">
      <c r="A19" s="59">
        <f>'2. 안전성 검토_계산조건'!B16</f>
        <v>15</v>
      </c>
      <c r="B19" s="66" t="str">
        <f>'2. 안전성 검토_계산조건'!C16</f>
        <v>A-06</v>
      </c>
      <c r="C19" s="8">
        <f>'2. 안전성 검토_계산조건'!D16</f>
        <v>214</v>
      </c>
      <c r="D19" s="8" t="str">
        <f>'2. 안전성 검토_계산조건'!E16</f>
        <v>+</v>
      </c>
      <c r="E19" s="8">
        <f>'2. 안전성 검토_계산조건'!F16</f>
        <v>13.88</v>
      </c>
      <c r="F19" s="8">
        <f>'2. 안전성 검토_계산조건'!G16</f>
        <v>1500</v>
      </c>
      <c r="G19" s="8">
        <f>'2. 안전성 검토_계산조건'!H16</f>
        <v>12.7</v>
      </c>
      <c r="H19" s="15" t="e">
        <f>'2. 안전성 검토_계산조건'!I16</f>
        <v>#REF!</v>
      </c>
      <c r="I19" s="8" t="e">
        <f>'2. 안전성 검토_계산조건'!J16</f>
        <v>#REF!</v>
      </c>
      <c r="J19" s="8" t="e">
        <f>'2. 안전성 검토_계산조건'!K16</f>
        <v>#REF!</v>
      </c>
      <c r="K19" s="8" t="e">
        <f>'2. 안전성 검토_계산조건'!L16</f>
        <v>#REF!</v>
      </c>
      <c r="L19" s="8" t="e">
        <f>'2. 안전성 검토_계산조건'!M16</f>
        <v>#REF!</v>
      </c>
      <c r="M19" s="22" t="e">
        <f>'2. 안전성 검토_계산조건'!N16</f>
        <v>#REF!</v>
      </c>
      <c r="N19" s="94"/>
      <c r="O19" s="103">
        <f t="shared" si="0"/>
        <v>5.0199999999999996</v>
      </c>
      <c r="P19" s="95" t="str">
        <f t="shared" si="1"/>
        <v>OK</v>
      </c>
    </row>
    <row r="20" spans="1:16">
      <c r="A20" s="59">
        <f>'2. 안전성 검토_계산조건'!B17</f>
        <v>16</v>
      </c>
      <c r="B20" s="66" t="str">
        <f>'2. 안전성 검토_계산조건'!C17</f>
        <v>A-07</v>
      </c>
      <c r="C20" s="8">
        <f>'2. 안전성 검토_계산조건'!D17</f>
        <v>247</v>
      </c>
      <c r="D20" s="8" t="str">
        <f>'2. 안전성 검토_계산조건'!E17</f>
        <v>+</v>
      </c>
      <c r="E20" s="8">
        <f>'2. 안전성 검토_계산조건'!F17</f>
        <v>32.770000000000003</v>
      </c>
      <c r="F20" s="8">
        <f>'2. 안전성 검토_계산조건'!G17</f>
        <v>1500</v>
      </c>
      <c r="G20" s="8">
        <f>'2. 안전성 검토_계산조건'!H17</f>
        <v>12.7</v>
      </c>
      <c r="H20" s="15" t="e">
        <f>'2. 안전성 검토_계산조건'!I17</f>
        <v>#REF!</v>
      </c>
      <c r="I20" s="8" t="e">
        <f>'2. 안전성 검토_계산조건'!J17</f>
        <v>#REF!</v>
      </c>
      <c r="J20" s="8" t="e">
        <f>'2. 안전성 검토_계산조건'!K17</f>
        <v>#REF!</v>
      </c>
      <c r="K20" s="8" t="e">
        <f>'2. 안전성 검토_계산조건'!L17</f>
        <v>#REF!</v>
      </c>
      <c r="L20" s="8" t="e">
        <f>'2. 안전성 검토_계산조건'!M17</f>
        <v>#REF!</v>
      </c>
      <c r="M20" s="22" t="e">
        <f>'2. 안전성 검토_계산조건'!N17</f>
        <v>#REF!</v>
      </c>
      <c r="N20" s="94"/>
      <c r="O20" s="103">
        <f t="shared" si="0"/>
        <v>5.0199999999999996</v>
      </c>
      <c r="P20" s="95" t="str">
        <f t="shared" si="1"/>
        <v>OK</v>
      </c>
    </row>
    <row r="21" spans="1:16">
      <c r="A21" s="59">
        <f>'2. 안전성 검토_계산조건'!B18</f>
        <v>18</v>
      </c>
      <c r="B21" s="66" t="str">
        <f>'2. 안전성 검토_계산조건'!C18</f>
        <v>A-08</v>
      </c>
      <c r="C21" s="8">
        <f>'2. 안전성 검토_계산조건'!D18</f>
        <v>272</v>
      </c>
      <c r="D21" s="8" t="str">
        <f>'2. 안전성 검토_계산조건'!E18</f>
        <v>+</v>
      </c>
      <c r="E21" s="8">
        <f>'2. 안전성 검토_계산조건'!F18</f>
        <v>27</v>
      </c>
      <c r="F21" s="8">
        <f>'2. 안전성 검토_계산조건'!G18</f>
        <v>1500</v>
      </c>
      <c r="G21" s="8">
        <f>'2. 안전성 검토_계산조건'!H18</f>
        <v>12.7</v>
      </c>
      <c r="H21" s="15" t="e">
        <f>'2. 안전성 검토_계산조건'!I18</f>
        <v>#REF!</v>
      </c>
      <c r="I21" s="8" t="e">
        <f>'2. 안전성 검토_계산조건'!J18</f>
        <v>#REF!</v>
      </c>
      <c r="J21" s="8" t="e">
        <f>'2. 안전성 검토_계산조건'!K18</f>
        <v>#REF!</v>
      </c>
      <c r="K21" s="8" t="e">
        <f>'2. 안전성 검토_계산조건'!L18</f>
        <v>#REF!</v>
      </c>
      <c r="L21" s="8" t="e">
        <f>'2. 안전성 검토_계산조건'!M18</f>
        <v>#REF!</v>
      </c>
      <c r="M21" s="22" t="e">
        <f>'2. 안전성 검토_계산조건'!N18</f>
        <v>#REF!</v>
      </c>
      <c r="N21" s="94"/>
      <c r="O21" s="103">
        <f t="shared" si="0"/>
        <v>5.0199999999999996</v>
      </c>
      <c r="P21" s="95" t="str">
        <f t="shared" si="1"/>
        <v>OK</v>
      </c>
    </row>
    <row r="22" spans="1:16">
      <c r="A22" s="59">
        <f>'2. 안전성 검토_계산조건'!B19</f>
        <v>19</v>
      </c>
      <c r="B22" s="66" t="str">
        <f>'2. 안전성 검토_계산조건'!C19</f>
        <v>A-08</v>
      </c>
      <c r="C22" s="8">
        <f>'2. 안전성 검토_계산조건'!D19</f>
        <v>273</v>
      </c>
      <c r="D22" s="8" t="str">
        <f>'2. 안전성 검토_계산조건'!E19</f>
        <v>+</v>
      </c>
      <c r="E22" s="8">
        <f>'2. 안전성 검토_계산조건'!F19</f>
        <v>12.8</v>
      </c>
      <c r="F22" s="8">
        <f>'2. 안전성 검토_계산조건'!G19</f>
        <v>1500</v>
      </c>
      <c r="G22" s="8">
        <f>'2. 안전성 검토_계산조건'!H19</f>
        <v>12.7</v>
      </c>
      <c r="H22" s="15" t="e">
        <f>'2. 안전성 검토_계산조건'!I19</f>
        <v>#REF!</v>
      </c>
      <c r="I22" s="8" t="e">
        <f>'2. 안전성 검토_계산조건'!J19</f>
        <v>#REF!</v>
      </c>
      <c r="J22" s="8" t="e">
        <f>'2. 안전성 검토_계산조건'!K19</f>
        <v>#REF!</v>
      </c>
      <c r="K22" s="8" t="e">
        <f>'2. 안전성 검토_계산조건'!L19</f>
        <v>#REF!</v>
      </c>
      <c r="L22" s="8" t="e">
        <f>'2. 안전성 검토_계산조건'!M19</f>
        <v>#REF!</v>
      </c>
      <c r="M22" s="22" t="e">
        <f>'2. 안전성 검토_계산조건'!N19</f>
        <v>#REF!</v>
      </c>
      <c r="N22" s="94"/>
      <c r="O22" s="103">
        <f t="shared" si="0"/>
        <v>5.0199999999999996</v>
      </c>
      <c r="P22" s="95" t="str">
        <f t="shared" si="1"/>
        <v>OK</v>
      </c>
    </row>
    <row r="23" spans="1:16">
      <c r="A23" s="59">
        <f>'2. 안전성 검토_계산조건'!B20</f>
        <v>20</v>
      </c>
      <c r="B23" s="66" t="str">
        <f>'2. 안전성 검토_계산조건'!C20</f>
        <v>A-08</v>
      </c>
      <c r="C23" s="8">
        <f>'2. 안전성 검토_계산조건'!D20</f>
        <v>274</v>
      </c>
      <c r="D23" s="8" t="str">
        <f>'2. 안전성 검토_계산조건'!E20</f>
        <v>+</v>
      </c>
      <c r="E23" s="8">
        <f>'2. 안전성 검토_계산조건'!F20</f>
        <v>0</v>
      </c>
      <c r="F23" s="8">
        <f>'2. 안전성 검토_계산조건'!G20</f>
        <v>1500</v>
      </c>
      <c r="G23" s="8">
        <f>'2. 안전성 검토_계산조건'!H20</f>
        <v>12.7</v>
      </c>
      <c r="H23" s="15" t="e">
        <f>'2. 안전성 검토_계산조건'!I20</f>
        <v>#REF!</v>
      </c>
      <c r="I23" s="8" t="e">
        <f>'2. 안전성 검토_계산조건'!J20</f>
        <v>#REF!</v>
      </c>
      <c r="J23" s="8" t="e">
        <f>'2. 안전성 검토_계산조건'!K20</f>
        <v>#REF!</v>
      </c>
      <c r="K23" s="8" t="e">
        <f>'2. 안전성 검토_계산조건'!L20</f>
        <v>#REF!</v>
      </c>
      <c r="L23" s="8" t="e">
        <f>'2. 안전성 검토_계산조건'!M20</f>
        <v>#REF!</v>
      </c>
      <c r="M23" s="22" t="e">
        <f>'2. 안전성 검토_계산조건'!N20</f>
        <v>#REF!</v>
      </c>
      <c r="N23" s="94"/>
      <c r="O23" s="103">
        <f t="shared" si="0"/>
        <v>5.0199999999999996</v>
      </c>
      <c r="P23" s="95" t="str">
        <f t="shared" si="1"/>
        <v>OK</v>
      </c>
    </row>
    <row r="24" spans="1:16">
      <c r="A24" s="59">
        <f>'2. 안전성 검토_계산조건'!B21</f>
        <v>21</v>
      </c>
      <c r="B24" s="66" t="str">
        <f>'2. 안전성 검토_계산조건'!C21</f>
        <v>A-08</v>
      </c>
      <c r="C24" s="8">
        <f>'2. 안전성 검토_계산조건'!D21</f>
        <v>281</v>
      </c>
      <c r="D24" s="8" t="str">
        <f>'2. 안전성 검토_계산조건'!E21</f>
        <v>+</v>
      </c>
      <c r="E24" s="8">
        <f>'2. 안전성 검토_계산조건'!F21</f>
        <v>0</v>
      </c>
      <c r="F24" s="8">
        <f>'2. 안전성 검토_계산조건'!G21</f>
        <v>1500</v>
      </c>
      <c r="G24" s="8">
        <f>'2. 안전성 검토_계산조건'!H21</f>
        <v>12.7</v>
      </c>
      <c r="H24" s="15" t="e">
        <f>'2. 안전성 검토_계산조건'!I21</f>
        <v>#REF!</v>
      </c>
      <c r="I24" s="8" t="e">
        <f>'2. 안전성 검토_계산조건'!J21</f>
        <v>#REF!</v>
      </c>
      <c r="J24" s="8" t="e">
        <f>'2. 안전성 검토_계산조건'!K21</f>
        <v>#REF!</v>
      </c>
      <c r="K24" s="8" t="e">
        <f>'2. 안전성 검토_계산조건'!L21</f>
        <v>#REF!</v>
      </c>
      <c r="L24" s="8" t="e">
        <f>'2. 안전성 검토_계산조건'!M21</f>
        <v>#REF!</v>
      </c>
      <c r="M24" s="22" t="e">
        <f>'2. 안전성 검토_계산조건'!N21</f>
        <v>#REF!</v>
      </c>
      <c r="N24" s="94"/>
      <c r="O24" s="103">
        <f t="shared" si="0"/>
        <v>5.0199999999999996</v>
      </c>
      <c r="P24" s="95" t="str">
        <f t="shared" si="1"/>
        <v>OK</v>
      </c>
    </row>
    <row r="25" spans="1:16">
      <c r="A25" s="59">
        <f>'2. 안전성 검토_계산조건'!B22</f>
        <v>22</v>
      </c>
      <c r="B25" s="66" t="str">
        <f>'2. 안전성 검토_계산조건'!C22</f>
        <v>A-09</v>
      </c>
      <c r="C25" s="8">
        <f>'2. 안전성 검토_계산조건'!D22</f>
        <v>287</v>
      </c>
      <c r="D25" s="8" t="str">
        <f>'2. 안전성 검토_계산조건'!E22</f>
        <v>+</v>
      </c>
      <c r="E25" s="8">
        <f>'2. 안전성 검토_계산조건'!F22</f>
        <v>35.979999999999997</v>
      </c>
      <c r="F25" s="8">
        <f>'2. 안전성 검토_계산조건'!G22</f>
        <v>1500</v>
      </c>
      <c r="G25" s="8">
        <f>'2. 안전성 검토_계산조건'!H22</f>
        <v>12.7</v>
      </c>
      <c r="H25" s="15" t="e">
        <f>'2. 안전성 검토_계산조건'!I22</f>
        <v>#REF!</v>
      </c>
      <c r="I25" s="8" t="e">
        <f>'2. 안전성 검토_계산조건'!J22</f>
        <v>#REF!</v>
      </c>
      <c r="J25" s="8" t="e">
        <f>'2. 안전성 검토_계산조건'!K22</f>
        <v>#REF!</v>
      </c>
      <c r="K25" s="8" t="e">
        <f>'2. 안전성 검토_계산조건'!L22</f>
        <v>#REF!</v>
      </c>
      <c r="L25" s="8" t="e">
        <f>'2. 안전성 검토_계산조건'!M22</f>
        <v>#REF!</v>
      </c>
      <c r="M25" s="22" t="e">
        <f>'2. 안전성 검토_계산조건'!N22</f>
        <v>#REF!</v>
      </c>
      <c r="N25" s="94"/>
      <c r="O25" s="103">
        <f t="shared" si="0"/>
        <v>5.0199999999999996</v>
      </c>
      <c r="P25" s="95" t="str">
        <f t="shared" si="1"/>
        <v>OK</v>
      </c>
    </row>
    <row r="26" spans="1:16">
      <c r="A26" s="59">
        <f>'2. 안전성 검토_계산조건'!B23</f>
        <v>23</v>
      </c>
      <c r="B26" s="66" t="str">
        <f>'2. 안전성 검토_계산조건'!C23</f>
        <v>A-09</v>
      </c>
      <c r="C26" s="8">
        <f>'2. 안전성 검토_계산조건'!D23</f>
        <v>307</v>
      </c>
      <c r="D26" s="8" t="str">
        <f>'2. 안전성 검토_계산조건'!E23</f>
        <v>+</v>
      </c>
      <c r="E26" s="8">
        <f>'2. 안전성 검토_계산조건'!F23</f>
        <v>0</v>
      </c>
      <c r="F26" s="8">
        <f>'2. 안전성 검토_계산조건'!G23</f>
        <v>1500</v>
      </c>
      <c r="G26" s="8">
        <f>'2. 안전성 검토_계산조건'!H23</f>
        <v>12.7</v>
      </c>
      <c r="H26" s="15" t="e">
        <f>'2. 안전성 검토_계산조건'!I23</f>
        <v>#REF!</v>
      </c>
      <c r="I26" s="8" t="e">
        <f>'2. 안전성 검토_계산조건'!J23</f>
        <v>#REF!</v>
      </c>
      <c r="J26" s="8" t="e">
        <f>'2. 안전성 검토_계산조건'!K23</f>
        <v>#REF!</v>
      </c>
      <c r="K26" s="8" t="e">
        <f>'2. 안전성 검토_계산조건'!L23</f>
        <v>#REF!</v>
      </c>
      <c r="L26" s="8" t="e">
        <f>'2. 안전성 검토_계산조건'!M23</f>
        <v>#REF!</v>
      </c>
      <c r="M26" s="22" t="e">
        <f>'2. 안전성 검토_계산조건'!N23</f>
        <v>#REF!</v>
      </c>
      <c r="N26" s="94"/>
      <c r="O26" s="103">
        <f t="shared" si="0"/>
        <v>5.0199999999999996</v>
      </c>
      <c r="P26" s="95" t="str">
        <f t="shared" si="1"/>
        <v>OK</v>
      </c>
    </row>
    <row r="27" spans="1:16">
      <c r="A27" s="59">
        <f>'2. 안전성 검토_계산조건'!B24</f>
        <v>24</v>
      </c>
      <c r="B27" s="66" t="str">
        <f>'2. 안전성 검토_계산조건'!C24</f>
        <v>A-10</v>
      </c>
      <c r="C27" s="8">
        <f>'2. 안전성 검토_계산조건'!D24</f>
        <v>318</v>
      </c>
      <c r="D27" s="8" t="str">
        <f>'2. 안전성 검토_계산조건'!E24</f>
        <v>+</v>
      </c>
      <c r="E27" s="8">
        <f>'2. 안전성 검토_계산조건'!F24</f>
        <v>7.15</v>
      </c>
      <c r="F27" s="8">
        <f>'2. 안전성 검토_계산조건'!G24</f>
        <v>1500</v>
      </c>
      <c r="G27" s="8">
        <f>'2. 안전성 검토_계산조건'!H24</f>
        <v>12.7</v>
      </c>
      <c r="H27" s="15" t="e">
        <f>'2. 안전성 검토_계산조건'!I24</f>
        <v>#REF!</v>
      </c>
      <c r="I27" s="8" t="e">
        <f>'2. 안전성 검토_계산조건'!J24</f>
        <v>#REF!</v>
      </c>
      <c r="J27" s="8" t="e">
        <f>'2. 안전성 검토_계산조건'!K24</f>
        <v>#REF!</v>
      </c>
      <c r="K27" s="8" t="e">
        <f>'2. 안전성 검토_계산조건'!L24</f>
        <v>#REF!</v>
      </c>
      <c r="L27" s="8" t="e">
        <f>'2. 안전성 검토_계산조건'!M24</f>
        <v>#REF!</v>
      </c>
      <c r="M27" s="22" t="e">
        <f>'2. 안전성 검토_계산조건'!N24</f>
        <v>#REF!</v>
      </c>
      <c r="N27" s="94"/>
      <c r="O27" s="103">
        <f t="shared" si="0"/>
        <v>5.0199999999999996</v>
      </c>
      <c r="P27" s="95" t="str">
        <f t="shared" si="1"/>
        <v>OK</v>
      </c>
    </row>
    <row r="28" spans="1:16">
      <c r="A28" s="59">
        <f>'2. 안전성 검토_계산조건'!B25</f>
        <v>25</v>
      </c>
      <c r="B28" s="66" t="str">
        <f>'2. 안전성 검토_계산조건'!C25</f>
        <v>A-10</v>
      </c>
      <c r="C28" s="8">
        <f>'2. 안전성 검토_계산조건'!D25</f>
        <v>350</v>
      </c>
      <c r="D28" s="8" t="str">
        <f>'2. 안전성 검토_계산조건'!E25</f>
        <v>+</v>
      </c>
      <c r="E28" s="8">
        <f>'2. 안전성 검토_계산조건'!F25</f>
        <v>0</v>
      </c>
      <c r="F28" s="8">
        <f>'2. 안전성 검토_계산조건'!G25</f>
        <v>1500</v>
      </c>
      <c r="G28" s="8">
        <f>'2. 안전성 검토_계산조건'!H25</f>
        <v>12.7</v>
      </c>
      <c r="H28" s="15" t="e">
        <f>'2. 안전성 검토_계산조건'!I25</f>
        <v>#REF!</v>
      </c>
      <c r="I28" s="8" t="e">
        <f>'2. 안전성 검토_계산조건'!J25</f>
        <v>#REF!</v>
      </c>
      <c r="J28" s="8" t="e">
        <f>'2. 안전성 검토_계산조건'!K25</f>
        <v>#REF!</v>
      </c>
      <c r="K28" s="8" t="e">
        <f>'2. 안전성 검토_계산조건'!L25</f>
        <v>#REF!</v>
      </c>
      <c r="L28" s="8" t="e">
        <f>'2. 안전성 검토_계산조건'!M25</f>
        <v>#REF!</v>
      </c>
      <c r="M28" s="22" t="e">
        <f>'2. 안전성 검토_계산조건'!N25</f>
        <v>#REF!</v>
      </c>
      <c r="N28" s="94"/>
      <c r="O28" s="103">
        <f t="shared" si="0"/>
        <v>5.0199999999999996</v>
      </c>
      <c r="P28" s="95" t="str">
        <f t="shared" si="1"/>
        <v>OK</v>
      </c>
    </row>
    <row r="29" spans="1:16">
      <c r="A29" s="59">
        <f>'2. 안전성 검토_계산조건'!B26</f>
        <v>26</v>
      </c>
      <c r="B29" s="66" t="str">
        <f>'2. 안전성 검토_계산조건'!C26</f>
        <v>A-11</v>
      </c>
      <c r="C29" s="8">
        <f>'2. 안전성 검토_계산조건'!D26</f>
        <v>387</v>
      </c>
      <c r="D29" s="8" t="str">
        <f>'2. 안전성 검토_계산조건'!E26</f>
        <v>+</v>
      </c>
      <c r="E29" s="8">
        <f>'2. 안전성 검토_계산조건'!F26</f>
        <v>3.79</v>
      </c>
      <c r="F29" s="8">
        <f>'2. 안전성 검토_계산조건'!G26</f>
        <v>1500</v>
      </c>
      <c r="G29" s="8">
        <f>'2. 안전성 검토_계산조건'!H26</f>
        <v>12.7</v>
      </c>
      <c r="H29" s="15" t="e">
        <f>'2. 안전성 검토_계산조건'!I26</f>
        <v>#REF!</v>
      </c>
      <c r="I29" s="8" t="e">
        <f>'2. 안전성 검토_계산조건'!J26</f>
        <v>#REF!</v>
      </c>
      <c r="J29" s="8" t="e">
        <f>'2. 안전성 검토_계산조건'!K26</f>
        <v>#REF!</v>
      </c>
      <c r="K29" s="8" t="e">
        <f>'2. 안전성 검토_계산조건'!L26</f>
        <v>#REF!</v>
      </c>
      <c r="L29" s="8" t="e">
        <f>'2. 안전성 검토_계산조건'!M26</f>
        <v>#REF!</v>
      </c>
      <c r="M29" s="22" t="e">
        <f>'2. 안전성 검토_계산조건'!N26</f>
        <v>#REF!</v>
      </c>
      <c r="N29" s="94"/>
      <c r="O29" s="103">
        <f t="shared" si="0"/>
        <v>5.0199999999999996</v>
      </c>
      <c r="P29" s="95" t="str">
        <f t="shared" si="1"/>
        <v>OK</v>
      </c>
    </row>
    <row r="30" spans="1:16">
      <c r="A30" s="59">
        <f>'2. 안전성 검토_계산조건'!B27</f>
        <v>27</v>
      </c>
      <c r="B30" s="66" t="str">
        <f>'2. 안전성 검토_계산조건'!C27</f>
        <v>A-11</v>
      </c>
      <c r="C30" s="8">
        <f>'2. 안전성 검토_계산조건'!D27</f>
        <v>389</v>
      </c>
      <c r="D30" s="8" t="str">
        <f>'2. 안전성 검토_계산조건'!E27</f>
        <v>+</v>
      </c>
      <c r="E30" s="8">
        <f>'2. 안전성 검토_계산조건'!F27</f>
        <v>0</v>
      </c>
      <c r="F30" s="8">
        <f>'2. 안전성 검토_계산조건'!G27</f>
        <v>1500</v>
      </c>
      <c r="G30" s="8">
        <f>'2. 안전성 검토_계산조건'!H27</f>
        <v>12.7</v>
      </c>
      <c r="H30" s="15" t="e">
        <f>'2. 안전성 검토_계산조건'!I27</f>
        <v>#REF!</v>
      </c>
      <c r="I30" s="8" t="e">
        <f>'2. 안전성 검토_계산조건'!J27</f>
        <v>#REF!</v>
      </c>
      <c r="J30" s="8" t="e">
        <f>'2. 안전성 검토_계산조건'!K27</f>
        <v>#REF!</v>
      </c>
      <c r="K30" s="8" t="e">
        <f>'2. 안전성 검토_계산조건'!L27</f>
        <v>#REF!</v>
      </c>
      <c r="L30" s="8" t="e">
        <f>'2. 안전성 검토_계산조건'!M27</f>
        <v>#REF!</v>
      </c>
      <c r="M30" s="22" t="e">
        <f>'2. 안전성 검토_계산조건'!N27</f>
        <v>#REF!</v>
      </c>
      <c r="N30" s="94"/>
      <c r="O30" s="103">
        <f t="shared" si="0"/>
        <v>5.0199999999999996</v>
      </c>
      <c r="P30" s="95" t="str">
        <f t="shared" si="1"/>
        <v>OK</v>
      </c>
    </row>
    <row r="31" spans="1:16">
      <c r="A31" s="59">
        <f>'2. 안전성 검토_계산조건'!B28</f>
        <v>28</v>
      </c>
      <c r="B31" s="66" t="str">
        <f>'2. 안전성 검토_계산조건'!C28</f>
        <v>A-12</v>
      </c>
      <c r="C31" s="8">
        <f>'2. 안전성 검토_계산조건'!D28</f>
        <v>392</v>
      </c>
      <c r="D31" s="8" t="str">
        <f>'2. 안전성 검토_계산조건'!E28</f>
        <v>+</v>
      </c>
      <c r="E31" s="8">
        <f>'2. 안전성 검토_계산조건'!F28</f>
        <v>0</v>
      </c>
      <c r="F31" s="8">
        <f>'2. 안전성 검토_계산조건'!G28</f>
        <v>1500</v>
      </c>
      <c r="G31" s="8">
        <f>'2. 안전성 검토_계산조건'!H28</f>
        <v>12.7</v>
      </c>
      <c r="H31" s="15" t="e">
        <f>'2. 안전성 검토_계산조건'!I28</f>
        <v>#REF!</v>
      </c>
      <c r="I31" s="8" t="e">
        <f>'2. 안전성 검토_계산조건'!J28</f>
        <v>#REF!</v>
      </c>
      <c r="J31" s="8" t="e">
        <f>'2. 안전성 검토_계산조건'!K28</f>
        <v>#REF!</v>
      </c>
      <c r="K31" s="8" t="e">
        <f>'2. 안전성 검토_계산조건'!L28</f>
        <v>#REF!</v>
      </c>
      <c r="L31" s="8" t="e">
        <f>'2. 안전성 검토_계산조건'!M28</f>
        <v>#REF!</v>
      </c>
      <c r="M31" s="22" t="e">
        <f>'2. 안전성 검토_계산조건'!N28</f>
        <v>#REF!</v>
      </c>
      <c r="N31" s="94"/>
      <c r="O31" s="103">
        <f t="shared" si="0"/>
        <v>5.0199999999999996</v>
      </c>
      <c r="P31" s="95" t="str">
        <f t="shared" si="1"/>
        <v>OK</v>
      </c>
    </row>
    <row r="32" spans="1:16">
      <c r="A32" s="59">
        <f>'2. 안전성 검토_계산조건'!B29</f>
        <v>29</v>
      </c>
      <c r="B32" s="66" t="str">
        <f>'2. 안전성 검토_계산조건'!C29</f>
        <v>A-12</v>
      </c>
      <c r="C32" s="8">
        <f>'2. 안전성 검토_계산조건'!D29</f>
        <v>404</v>
      </c>
      <c r="D32" s="8" t="str">
        <f>'2. 안전성 검토_계산조건'!E29</f>
        <v>+</v>
      </c>
      <c r="E32" s="8">
        <f>'2. 안전성 검토_계산조건'!F29</f>
        <v>30.61</v>
      </c>
      <c r="F32" s="8">
        <f>'2. 안전성 검토_계산조건'!G29</f>
        <v>1500</v>
      </c>
      <c r="G32" s="8">
        <f>'2. 안전성 검토_계산조건'!H29</f>
        <v>12.7</v>
      </c>
      <c r="H32" s="15" t="e">
        <f>'2. 안전성 검토_계산조건'!I29</f>
        <v>#REF!</v>
      </c>
      <c r="I32" s="8" t="e">
        <f>'2. 안전성 검토_계산조건'!J29</f>
        <v>#REF!</v>
      </c>
      <c r="J32" s="8" t="e">
        <f>'2. 안전성 검토_계산조건'!K29</f>
        <v>#REF!</v>
      </c>
      <c r="K32" s="8" t="e">
        <f>'2. 안전성 검토_계산조건'!L29</f>
        <v>#REF!</v>
      </c>
      <c r="L32" s="8" t="e">
        <f>'2. 안전성 검토_계산조건'!M29</f>
        <v>#REF!</v>
      </c>
      <c r="M32" s="22" t="e">
        <f>'2. 안전성 검토_계산조건'!N29</f>
        <v>#REF!</v>
      </c>
      <c r="N32" s="94"/>
      <c r="O32" s="103">
        <f t="shared" si="0"/>
        <v>5.0199999999999996</v>
      </c>
      <c r="P32" s="95" t="str">
        <f t="shared" si="1"/>
        <v>OK</v>
      </c>
    </row>
    <row r="33" spans="1:16">
      <c r="A33" s="59">
        <f>'2. 안전성 검토_계산조건'!B30</f>
        <v>30</v>
      </c>
      <c r="B33" s="66" t="str">
        <f>'2. 안전성 검토_계산조건'!C30</f>
        <v>A-13</v>
      </c>
      <c r="C33" s="8">
        <f>'2. 안전성 검토_계산조건'!D30</f>
        <v>440</v>
      </c>
      <c r="D33" s="8" t="str">
        <f>'2. 안전성 검토_계산조건'!E30</f>
        <v>+</v>
      </c>
      <c r="E33" s="8">
        <f>'2. 안전성 검토_계산조건'!F30</f>
        <v>8.2799999999999994</v>
      </c>
      <c r="F33" s="8">
        <f>'2. 안전성 검토_계산조건'!G30</f>
        <v>1500</v>
      </c>
      <c r="G33" s="8">
        <f>'2. 안전성 검토_계산조건'!H30</f>
        <v>12.7</v>
      </c>
      <c r="H33" s="15" t="e">
        <f>'2. 안전성 검토_계산조건'!I30</f>
        <v>#REF!</v>
      </c>
      <c r="I33" s="8" t="e">
        <f>'2. 안전성 검토_계산조건'!J30</f>
        <v>#REF!</v>
      </c>
      <c r="J33" s="8" t="e">
        <f>'2. 안전성 검토_계산조건'!K30</f>
        <v>#REF!</v>
      </c>
      <c r="K33" s="8" t="e">
        <f>'2. 안전성 검토_계산조건'!L30</f>
        <v>#REF!</v>
      </c>
      <c r="L33" s="8" t="e">
        <f>'2. 안전성 검토_계산조건'!M30</f>
        <v>#REF!</v>
      </c>
      <c r="M33" s="22" t="e">
        <f>'2. 안전성 검토_계산조건'!N30</f>
        <v>#REF!</v>
      </c>
      <c r="N33" s="94"/>
      <c r="O33" s="103">
        <f t="shared" si="0"/>
        <v>5.0199999999999996</v>
      </c>
      <c r="P33" s="95" t="str">
        <f t="shared" si="1"/>
        <v>OK</v>
      </c>
    </row>
    <row r="34" spans="1:16">
      <c r="A34" s="59">
        <f>'2. 안전성 검토_계산조건'!B31</f>
        <v>31</v>
      </c>
      <c r="B34" s="66" t="str">
        <f>'2. 안전성 검토_계산조건'!C31</f>
        <v>A-13</v>
      </c>
      <c r="C34" s="8">
        <f>'2. 안전성 검토_계산조건'!D31</f>
        <v>442</v>
      </c>
      <c r="D34" s="8" t="str">
        <f>'2. 안전성 검토_계산조건'!E31</f>
        <v>+</v>
      </c>
      <c r="E34" s="8">
        <f>'2. 안전성 검토_계산조건'!F31</f>
        <v>0</v>
      </c>
      <c r="F34" s="8">
        <f>'2. 안전성 검토_계산조건'!G31</f>
        <v>1500</v>
      </c>
      <c r="G34" s="8">
        <f>'2. 안전성 검토_계산조건'!H31</f>
        <v>12.7</v>
      </c>
      <c r="H34" s="15" t="e">
        <f>'2. 안전성 검토_계산조건'!I31</f>
        <v>#REF!</v>
      </c>
      <c r="I34" s="8" t="e">
        <f>'2. 안전성 검토_계산조건'!J31</f>
        <v>#REF!</v>
      </c>
      <c r="J34" s="8" t="e">
        <f>'2. 안전성 검토_계산조건'!K31</f>
        <v>#REF!</v>
      </c>
      <c r="K34" s="8" t="e">
        <f>'2. 안전성 검토_계산조건'!L31</f>
        <v>#REF!</v>
      </c>
      <c r="L34" s="8" t="e">
        <f>'2. 안전성 검토_계산조건'!M31</f>
        <v>#REF!</v>
      </c>
      <c r="M34" s="22" t="e">
        <f>'2. 안전성 검토_계산조건'!N31</f>
        <v>#REF!</v>
      </c>
      <c r="N34" s="94"/>
      <c r="O34" s="103">
        <f t="shared" si="0"/>
        <v>5.0199999999999996</v>
      </c>
      <c r="P34" s="95" t="str">
        <f t="shared" si="1"/>
        <v>OK</v>
      </c>
    </row>
    <row r="35" spans="1:16" ht="14.25" thickBot="1">
      <c r="A35" s="59">
        <f>'2. 안전성 검토_계산조건'!B32</f>
        <v>32</v>
      </c>
      <c r="B35" s="67" t="str">
        <f>'2. 안전성 검토_계산조건'!C32</f>
        <v>A-14</v>
      </c>
      <c r="C35" s="69">
        <f>'2. 안전성 검토_계산조건'!D32</f>
        <v>457</v>
      </c>
      <c r="D35" s="69" t="str">
        <f>'2. 안전성 검토_계산조건'!E32</f>
        <v>+</v>
      </c>
      <c r="E35" s="69">
        <f>'2. 안전성 검토_계산조건'!F32</f>
        <v>5.95</v>
      </c>
      <c r="F35" s="69">
        <f>'2. 안전성 검토_계산조건'!G32</f>
        <v>1500</v>
      </c>
      <c r="G35" s="69">
        <f>'2. 안전성 검토_계산조건'!H32</f>
        <v>12.7</v>
      </c>
      <c r="H35" s="96" t="e">
        <f>'2. 안전성 검토_계산조건'!I32</f>
        <v>#REF!</v>
      </c>
      <c r="I35" s="69" t="e">
        <f>'2. 안전성 검토_계산조건'!J32</f>
        <v>#REF!</v>
      </c>
      <c r="J35" s="69" t="e">
        <f>'2. 안전성 검토_계산조건'!K32</f>
        <v>#REF!</v>
      </c>
      <c r="K35" s="69" t="e">
        <f>'2. 안전성 검토_계산조건'!L32</f>
        <v>#REF!</v>
      </c>
      <c r="L35" s="69" t="e">
        <f>'2. 안전성 검토_계산조건'!M32</f>
        <v>#REF!</v>
      </c>
      <c r="M35" s="97" t="e">
        <f>'2. 안전성 검토_계산조건'!N32</f>
        <v>#REF!</v>
      </c>
      <c r="N35" s="98"/>
      <c r="O35" s="103">
        <f t="shared" si="0"/>
        <v>5.0199999999999996</v>
      </c>
      <c r="P35" s="99" t="str">
        <f t="shared" si="1"/>
        <v>OK</v>
      </c>
    </row>
    <row r="36" spans="1:16">
      <c r="A36" s="59">
        <f>'2. 안전성 검토_계산조건'!B33</f>
        <v>34</v>
      </c>
      <c r="B36" s="114" t="str">
        <f>'2. 안전성 검토_계산조건'!C33</f>
        <v>A-15</v>
      </c>
      <c r="C36" s="65">
        <f>'2. 안전성 검토_계산조건'!D33</f>
        <v>503</v>
      </c>
      <c r="D36" s="65" t="str">
        <f>'2. 안전성 검토_계산조건'!E33</f>
        <v>+</v>
      </c>
      <c r="E36" s="65">
        <f>'2. 안전성 검토_계산조건'!F33</f>
        <v>0</v>
      </c>
      <c r="F36" s="65">
        <f>'2. 안전성 검토_계산조건'!G33</f>
        <v>1500</v>
      </c>
      <c r="G36" s="65">
        <f>'2. 안전성 검토_계산조건'!H33</f>
        <v>12.7</v>
      </c>
      <c r="H36" s="115" t="e">
        <f>'2. 안전성 검토_계산조건'!I33</f>
        <v>#REF!</v>
      </c>
      <c r="I36" s="65" t="e">
        <f>'2. 안전성 검토_계산조건'!J33</f>
        <v>#REF!</v>
      </c>
      <c r="J36" s="65" t="e">
        <f>'2. 안전성 검토_계산조건'!K33</f>
        <v>#REF!</v>
      </c>
      <c r="K36" s="65" t="e">
        <f>'2. 안전성 검토_계산조건'!L33</f>
        <v>#REF!</v>
      </c>
      <c r="L36" s="65" t="e">
        <f>'2. 안전성 검토_계산조건'!M33</f>
        <v>#REF!</v>
      </c>
      <c r="M36" s="116" t="e">
        <f>'2. 안전성 검토_계산조건'!N33</f>
        <v>#REF!</v>
      </c>
      <c r="N36" s="117"/>
      <c r="O36" s="103">
        <f t="shared" si="0"/>
        <v>5.0199999999999996</v>
      </c>
      <c r="P36" s="118" t="str">
        <f t="shared" si="1"/>
        <v>OK</v>
      </c>
    </row>
    <row r="37" spans="1:16">
      <c r="A37" s="59">
        <f>'2. 안전성 검토_계산조건'!B34</f>
        <v>35</v>
      </c>
      <c r="B37" s="66" t="str">
        <f>'2. 안전성 검토_계산조건'!C34</f>
        <v>A-15</v>
      </c>
      <c r="C37" s="8">
        <f>'2. 안전성 검토_계산조건'!D34</f>
        <v>530</v>
      </c>
      <c r="D37" s="8" t="str">
        <f>'2. 안전성 검토_계산조건'!E34</f>
        <v>+</v>
      </c>
      <c r="E37" s="8">
        <f>'2. 안전성 검토_계산조건'!F34</f>
        <v>30.32</v>
      </c>
      <c r="F37" s="8">
        <f>'2. 안전성 검토_계산조건'!G34</f>
        <v>1500</v>
      </c>
      <c r="G37" s="8">
        <f>'2. 안전성 검토_계산조건'!H34</f>
        <v>12.7</v>
      </c>
      <c r="H37" s="15" t="e">
        <f>'2. 안전성 검토_계산조건'!I34</f>
        <v>#REF!</v>
      </c>
      <c r="I37" s="8" t="e">
        <f>'2. 안전성 검토_계산조건'!J34</f>
        <v>#REF!</v>
      </c>
      <c r="J37" s="8" t="e">
        <f>'2. 안전성 검토_계산조건'!K34</f>
        <v>#REF!</v>
      </c>
      <c r="K37" s="8" t="e">
        <f>'2. 안전성 검토_계산조건'!L34</f>
        <v>#REF!</v>
      </c>
      <c r="L37" s="8" t="e">
        <f>'2. 안전성 검토_계산조건'!M34</f>
        <v>#REF!</v>
      </c>
      <c r="M37" s="22" t="e">
        <f>'2. 안전성 검토_계산조건'!N34</f>
        <v>#REF!</v>
      </c>
      <c r="N37" s="94"/>
      <c r="O37" s="103">
        <f t="shared" si="0"/>
        <v>5.0199999999999996</v>
      </c>
      <c r="P37" s="95" t="str">
        <f t="shared" si="1"/>
        <v>OK</v>
      </c>
    </row>
    <row r="38" spans="1:16">
      <c r="A38" s="59">
        <f>'2. 안전성 검토_계산조건'!B35</f>
        <v>36</v>
      </c>
      <c r="B38" s="66" t="str">
        <f>'2. 안전성 검토_계산조건'!C35</f>
        <v>A-16</v>
      </c>
      <c r="C38" s="8">
        <f>'2. 안전성 검토_계산조건'!D35</f>
        <v>554</v>
      </c>
      <c r="D38" s="8" t="str">
        <f>'2. 안전성 검토_계산조건'!E35</f>
        <v>+</v>
      </c>
      <c r="E38" s="8">
        <f>'2. 안전성 검토_계산조건'!F35</f>
        <v>0</v>
      </c>
      <c r="F38" s="8">
        <f>'2. 안전성 검토_계산조건'!G35</f>
        <v>1500</v>
      </c>
      <c r="G38" s="8">
        <f>'2. 안전성 검토_계산조건'!H35</f>
        <v>12.7</v>
      </c>
      <c r="H38" s="15" t="e">
        <f>'2. 안전성 검토_계산조건'!I35</f>
        <v>#REF!</v>
      </c>
      <c r="I38" s="8" t="e">
        <f>'2. 안전성 검토_계산조건'!J35</f>
        <v>#REF!</v>
      </c>
      <c r="J38" s="8" t="e">
        <f>'2. 안전성 검토_계산조건'!K35</f>
        <v>#REF!</v>
      </c>
      <c r="K38" s="8" t="e">
        <f>'2. 안전성 검토_계산조건'!L35</f>
        <v>#REF!</v>
      </c>
      <c r="L38" s="8" t="e">
        <f>'2. 안전성 검토_계산조건'!M35</f>
        <v>#REF!</v>
      </c>
      <c r="M38" s="22" t="e">
        <f>'2. 안전성 검토_계산조건'!N35</f>
        <v>#REF!</v>
      </c>
      <c r="N38" s="94"/>
      <c r="O38" s="103">
        <f t="shared" si="0"/>
        <v>5.0199999999999996</v>
      </c>
      <c r="P38" s="95" t="str">
        <f t="shared" si="1"/>
        <v>OK</v>
      </c>
    </row>
    <row r="39" spans="1:16">
      <c r="A39" s="59">
        <f>'2. 안전성 검토_계산조건'!B36</f>
        <v>37</v>
      </c>
      <c r="B39" s="66" t="str">
        <f>'2. 안전성 검토_계산조건'!C36</f>
        <v>A-16</v>
      </c>
      <c r="C39" s="8">
        <f>'2. 안전성 검토_계산조건'!D36</f>
        <v>564</v>
      </c>
      <c r="D39" s="8" t="str">
        <f>'2. 안전성 검토_계산조건'!E36</f>
        <v>+</v>
      </c>
      <c r="E39" s="8">
        <f>'2. 안전성 검토_계산조건'!F36</f>
        <v>0</v>
      </c>
      <c r="F39" s="8">
        <f>'2. 안전성 검토_계산조건'!G36</f>
        <v>1500</v>
      </c>
      <c r="G39" s="8">
        <f>'2. 안전성 검토_계산조건'!H36</f>
        <v>12.7</v>
      </c>
      <c r="H39" s="15" t="e">
        <f>'2. 안전성 검토_계산조건'!I36</f>
        <v>#REF!</v>
      </c>
      <c r="I39" s="8" t="e">
        <f>'2. 안전성 검토_계산조건'!J36</f>
        <v>#REF!</v>
      </c>
      <c r="J39" s="8" t="e">
        <f>'2. 안전성 검토_계산조건'!K36</f>
        <v>#REF!</v>
      </c>
      <c r="K39" s="8" t="e">
        <f>'2. 안전성 검토_계산조건'!L36</f>
        <v>#REF!</v>
      </c>
      <c r="L39" s="8" t="e">
        <f>'2. 안전성 검토_계산조건'!M36</f>
        <v>#REF!</v>
      </c>
      <c r="M39" s="22" t="e">
        <f>'2. 안전성 검토_계산조건'!N36</f>
        <v>#REF!</v>
      </c>
      <c r="N39" s="94"/>
      <c r="O39" s="103">
        <f t="shared" si="0"/>
        <v>5.0199999999999996</v>
      </c>
      <c r="P39" s="95" t="str">
        <f t="shared" si="1"/>
        <v>OK</v>
      </c>
    </row>
    <row r="40" spans="1:16">
      <c r="A40" s="59">
        <f>'2. 안전성 검토_계산조건'!B37</f>
        <v>38</v>
      </c>
      <c r="B40" s="66" t="str">
        <f>'2. 안전성 검토_계산조건'!C37</f>
        <v>A-17</v>
      </c>
      <c r="C40" s="8">
        <f>'2. 안전성 검토_계산조건'!D37</f>
        <v>567</v>
      </c>
      <c r="D40" s="8" t="str">
        <f>'2. 안전성 검토_계산조건'!E37</f>
        <v>+</v>
      </c>
      <c r="E40" s="8">
        <f>'2. 안전성 검토_계산조건'!F37</f>
        <v>0</v>
      </c>
      <c r="F40" s="8">
        <f>'2. 안전성 검토_계산조건'!G37</f>
        <v>1500</v>
      </c>
      <c r="G40" s="8">
        <f>'2. 안전성 검토_계산조건'!H37</f>
        <v>12.7</v>
      </c>
      <c r="H40" s="15" t="e">
        <f>'2. 안전성 검토_계산조건'!I37</f>
        <v>#REF!</v>
      </c>
      <c r="I40" s="8" t="e">
        <f>'2. 안전성 검토_계산조건'!J37</f>
        <v>#REF!</v>
      </c>
      <c r="J40" s="8" t="e">
        <f>'2. 안전성 검토_계산조건'!K37</f>
        <v>#REF!</v>
      </c>
      <c r="K40" s="8" t="e">
        <f>'2. 안전성 검토_계산조건'!L37</f>
        <v>#REF!</v>
      </c>
      <c r="L40" s="8" t="e">
        <f>'2. 안전성 검토_계산조건'!M37</f>
        <v>#REF!</v>
      </c>
      <c r="M40" s="22" t="e">
        <f>'2. 안전성 검토_계산조건'!N37</f>
        <v>#REF!</v>
      </c>
      <c r="N40" s="94"/>
      <c r="O40" s="103">
        <f t="shared" si="0"/>
        <v>5.0199999999999996</v>
      </c>
      <c r="P40" s="95" t="str">
        <f t="shared" si="1"/>
        <v>OK</v>
      </c>
    </row>
    <row r="41" spans="1:16">
      <c r="A41" s="59">
        <f>'2. 안전성 검토_계산조건'!B38</f>
        <v>39</v>
      </c>
      <c r="B41" s="66" t="str">
        <f>'2. 안전성 검토_계산조건'!C38</f>
        <v>A-18</v>
      </c>
      <c r="C41" s="8">
        <f>'2. 안전성 검토_계산조건'!D38</f>
        <v>571</v>
      </c>
      <c r="D41" s="8" t="str">
        <f>'2. 안전성 검토_계산조건'!E38</f>
        <v>+</v>
      </c>
      <c r="E41" s="8">
        <f>'2. 안전성 검토_계산조건'!F38</f>
        <v>32.22</v>
      </c>
      <c r="F41" s="8">
        <f>'2. 안전성 검토_계산조건'!G38</f>
        <v>1500</v>
      </c>
      <c r="G41" s="8">
        <f>'2. 안전성 검토_계산조건'!H38</f>
        <v>12.7</v>
      </c>
      <c r="H41" s="15" t="e">
        <f>'2. 안전성 검토_계산조건'!I38</f>
        <v>#REF!</v>
      </c>
      <c r="I41" s="8" t="e">
        <f>'2. 안전성 검토_계산조건'!J38</f>
        <v>#REF!</v>
      </c>
      <c r="J41" s="8" t="e">
        <f>'2. 안전성 검토_계산조건'!K38</f>
        <v>#REF!</v>
      </c>
      <c r="K41" s="8" t="e">
        <f>'2. 안전성 검토_계산조건'!L38</f>
        <v>#REF!</v>
      </c>
      <c r="L41" s="8" t="e">
        <f>'2. 안전성 검토_계산조건'!M38</f>
        <v>#REF!</v>
      </c>
      <c r="M41" s="22" t="e">
        <f>'2. 안전성 검토_계산조건'!N38</f>
        <v>#REF!</v>
      </c>
      <c r="N41" s="94"/>
      <c r="O41" s="103">
        <f t="shared" si="0"/>
        <v>5.0199999999999996</v>
      </c>
      <c r="P41" s="95" t="str">
        <f t="shared" si="1"/>
        <v>OK</v>
      </c>
    </row>
    <row r="42" spans="1:16">
      <c r="A42" s="59">
        <f>'2. 안전성 검토_계산조건'!B39</f>
        <v>40</v>
      </c>
      <c r="B42" s="66" t="str">
        <f>'2. 안전성 검토_계산조건'!C39</f>
        <v>A-18</v>
      </c>
      <c r="C42" s="8">
        <f>'2. 안전성 검토_계산조건'!D39</f>
        <v>577</v>
      </c>
      <c r="D42" s="8" t="str">
        <f>'2. 안전성 검토_계산조건'!E39</f>
        <v>+</v>
      </c>
      <c r="E42" s="8">
        <f>'2. 안전성 검토_계산조건'!F39</f>
        <v>0</v>
      </c>
      <c r="F42" s="8">
        <f>'2. 안전성 검토_계산조건'!G39</f>
        <v>1500</v>
      </c>
      <c r="G42" s="8">
        <f>'2. 안전성 검토_계산조건'!H39</f>
        <v>12.7</v>
      </c>
      <c r="H42" s="15" t="e">
        <f>'2. 안전성 검토_계산조건'!I39</f>
        <v>#REF!</v>
      </c>
      <c r="I42" s="8" t="e">
        <f>'2. 안전성 검토_계산조건'!J39</f>
        <v>#REF!</v>
      </c>
      <c r="J42" s="8" t="e">
        <f>'2. 안전성 검토_계산조건'!K39</f>
        <v>#REF!</v>
      </c>
      <c r="K42" s="8" t="e">
        <f>'2. 안전성 검토_계산조건'!L39</f>
        <v>#REF!</v>
      </c>
      <c r="L42" s="8" t="e">
        <f>'2. 안전성 검토_계산조건'!M39</f>
        <v>#REF!</v>
      </c>
      <c r="M42" s="22" t="e">
        <f>'2. 안전성 검토_계산조건'!N39</f>
        <v>#REF!</v>
      </c>
      <c r="N42" s="94"/>
      <c r="O42" s="103">
        <f t="shared" si="0"/>
        <v>5.0199999999999996</v>
      </c>
      <c r="P42" s="95" t="str">
        <f t="shared" si="1"/>
        <v>OK</v>
      </c>
    </row>
    <row r="43" spans="1:16">
      <c r="A43" s="59">
        <f>'2. 안전성 검토_계산조건'!B40</f>
        <v>41</v>
      </c>
      <c r="B43" s="66" t="str">
        <f>'2. 안전성 검토_계산조건'!C40</f>
        <v>A-19</v>
      </c>
      <c r="C43" s="8">
        <f>'2. 안전성 검토_계산조건'!D40</f>
        <v>578</v>
      </c>
      <c r="D43" s="8" t="str">
        <f>'2. 안전성 검토_계산조건'!E40</f>
        <v>+</v>
      </c>
      <c r="E43" s="8">
        <f>'2. 안전성 검토_계산조건'!F40</f>
        <v>24.03</v>
      </c>
      <c r="F43" s="8">
        <f>'2. 안전성 검토_계산조건'!G40</f>
        <v>1500</v>
      </c>
      <c r="G43" s="8">
        <f>'2. 안전성 검토_계산조건'!H40</f>
        <v>12.7</v>
      </c>
      <c r="H43" s="15" t="e">
        <f>'2. 안전성 검토_계산조건'!I40</f>
        <v>#REF!</v>
      </c>
      <c r="I43" s="8" t="e">
        <f>'2. 안전성 검토_계산조건'!J40</f>
        <v>#REF!</v>
      </c>
      <c r="J43" s="8" t="e">
        <f>'2. 안전성 검토_계산조건'!K40</f>
        <v>#REF!</v>
      </c>
      <c r="K43" s="8" t="e">
        <f>'2. 안전성 검토_계산조건'!L40</f>
        <v>#REF!</v>
      </c>
      <c r="L43" s="8" t="e">
        <f>'2. 안전성 검토_계산조건'!M40</f>
        <v>#REF!</v>
      </c>
      <c r="M43" s="22" t="e">
        <f>'2. 안전성 검토_계산조건'!N40</f>
        <v>#REF!</v>
      </c>
      <c r="N43" s="94"/>
      <c r="O43" s="103">
        <f t="shared" si="0"/>
        <v>5.0199999999999996</v>
      </c>
      <c r="P43" s="95" t="str">
        <f t="shared" si="1"/>
        <v>OK</v>
      </c>
    </row>
    <row r="44" spans="1:16">
      <c r="A44" s="59">
        <f>'2. 안전성 검토_계산조건'!B41</f>
        <v>42</v>
      </c>
      <c r="B44" s="66" t="str">
        <f>'2. 안전성 검토_계산조건'!C41</f>
        <v>A-19</v>
      </c>
      <c r="C44" s="8">
        <f>'2. 안전성 검토_계산조건'!D41</f>
        <v>589</v>
      </c>
      <c r="D44" s="8" t="str">
        <f>'2. 안전성 검토_계산조건'!E41</f>
        <v>+</v>
      </c>
      <c r="E44" s="8">
        <f>'2. 안전성 검토_계산조건'!F41</f>
        <v>0</v>
      </c>
      <c r="F44" s="8">
        <f>'2. 안전성 검토_계산조건'!G41</f>
        <v>1500</v>
      </c>
      <c r="G44" s="8">
        <f>'2. 안전성 검토_계산조건'!H41</f>
        <v>12.7</v>
      </c>
      <c r="H44" s="15" t="e">
        <f>'2. 안전성 검토_계산조건'!I41</f>
        <v>#REF!</v>
      </c>
      <c r="I44" s="8" t="e">
        <f>'2. 안전성 검토_계산조건'!J41</f>
        <v>#REF!</v>
      </c>
      <c r="J44" s="8" t="e">
        <f>'2. 안전성 검토_계산조건'!K41</f>
        <v>#REF!</v>
      </c>
      <c r="K44" s="8" t="e">
        <f>'2. 안전성 검토_계산조건'!L41</f>
        <v>#REF!</v>
      </c>
      <c r="L44" s="8" t="e">
        <f>'2. 안전성 검토_계산조건'!M41</f>
        <v>#REF!</v>
      </c>
      <c r="M44" s="22" t="e">
        <f>'2. 안전성 검토_계산조건'!N41</f>
        <v>#REF!</v>
      </c>
      <c r="N44" s="94"/>
      <c r="O44" s="103">
        <f t="shared" si="0"/>
        <v>5.0199999999999996</v>
      </c>
      <c r="P44" s="95" t="str">
        <f t="shared" si="1"/>
        <v>OK</v>
      </c>
    </row>
    <row r="45" spans="1:16">
      <c r="A45" s="59">
        <f>'2. 안전성 검토_계산조건'!B42</f>
        <v>43</v>
      </c>
      <c r="B45" s="66" t="str">
        <f>'2. 안전성 검토_계산조건'!C42</f>
        <v>A-19</v>
      </c>
      <c r="C45" s="8">
        <f>'2. 안전성 검토_계산조건'!D42</f>
        <v>603</v>
      </c>
      <c r="D45" s="8" t="str">
        <f>'2. 안전성 검토_계산조건'!E42</f>
        <v>+</v>
      </c>
      <c r="E45" s="8">
        <f>'2. 안전성 검토_계산조건'!F42</f>
        <v>37.14</v>
      </c>
      <c r="F45" s="8">
        <f>'2. 안전성 검토_계산조건'!G42</f>
        <v>1500</v>
      </c>
      <c r="G45" s="8">
        <f>'2. 안전성 검토_계산조건'!H42</f>
        <v>12.7</v>
      </c>
      <c r="H45" s="15" t="e">
        <f>'2. 안전성 검토_계산조건'!I42</f>
        <v>#REF!</v>
      </c>
      <c r="I45" s="8" t="e">
        <f>'2. 안전성 검토_계산조건'!J42</f>
        <v>#REF!</v>
      </c>
      <c r="J45" s="8" t="e">
        <f>'2. 안전성 검토_계산조건'!K42</f>
        <v>#REF!</v>
      </c>
      <c r="K45" s="8" t="e">
        <f>'2. 안전성 검토_계산조건'!L42</f>
        <v>#REF!</v>
      </c>
      <c r="L45" s="8" t="e">
        <f>'2. 안전성 검토_계산조건'!M42</f>
        <v>#REF!</v>
      </c>
      <c r="M45" s="22" t="e">
        <f>'2. 안전성 검토_계산조건'!N42</f>
        <v>#REF!</v>
      </c>
      <c r="N45" s="94"/>
      <c r="O45" s="103">
        <f t="shared" si="0"/>
        <v>5.0199999999999996</v>
      </c>
      <c r="P45" s="95" t="str">
        <f t="shared" si="1"/>
        <v>OK</v>
      </c>
    </row>
    <row r="46" spans="1:16">
      <c r="A46" s="59">
        <f>'2. 안전성 검토_계산조건'!B43</f>
        <v>44</v>
      </c>
      <c r="B46" s="66" t="str">
        <f>'2. 안전성 검토_계산조건'!C43</f>
        <v>A-20</v>
      </c>
      <c r="C46" s="8">
        <f>'2. 안전성 검토_계산조건'!D43</f>
        <v>615</v>
      </c>
      <c r="D46" s="8" t="str">
        <f>'2. 안전성 검토_계산조건'!E43</f>
        <v>+</v>
      </c>
      <c r="E46" s="8">
        <f>'2. 안전성 검토_계산조건'!F43</f>
        <v>0</v>
      </c>
      <c r="F46" s="8">
        <f>'2. 안전성 검토_계산조건'!G43</f>
        <v>1500</v>
      </c>
      <c r="G46" s="8">
        <f>'2. 안전성 검토_계산조건'!H43</f>
        <v>12.7</v>
      </c>
      <c r="H46" s="15" t="e">
        <f>'2. 안전성 검토_계산조건'!I43</f>
        <v>#REF!</v>
      </c>
      <c r="I46" s="8" t="e">
        <f>'2. 안전성 검토_계산조건'!J43</f>
        <v>#REF!</v>
      </c>
      <c r="J46" s="8" t="e">
        <f>'2. 안전성 검토_계산조건'!K43</f>
        <v>#REF!</v>
      </c>
      <c r="K46" s="8" t="e">
        <f>'2. 안전성 검토_계산조건'!L43</f>
        <v>#REF!</v>
      </c>
      <c r="L46" s="8" t="e">
        <f>'2. 안전성 검토_계산조건'!M43</f>
        <v>#REF!</v>
      </c>
      <c r="M46" s="22" t="e">
        <f>'2. 안전성 검토_계산조건'!N43</f>
        <v>#REF!</v>
      </c>
      <c r="N46" s="94"/>
      <c r="O46" s="103">
        <f t="shared" si="0"/>
        <v>5.0199999999999996</v>
      </c>
      <c r="P46" s="95" t="str">
        <f t="shared" si="1"/>
        <v>OK</v>
      </c>
    </row>
    <row r="47" spans="1:16">
      <c r="A47" s="59">
        <f>'2. 안전성 검토_계산조건'!B44</f>
        <v>45</v>
      </c>
      <c r="B47" s="66" t="str">
        <f>'2. 안전성 검토_계산조건'!C44</f>
        <v>A-20</v>
      </c>
      <c r="C47" s="8">
        <f>'2. 안전성 검토_계산조건'!D44</f>
        <v>627</v>
      </c>
      <c r="D47" s="8" t="str">
        <f>'2. 안전성 검토_계산조건'!E44</f>
        <v>+</v>
      </c>
      <c r="E47" s="8">
        <f>'2. 안전성 검토_계산조건'!F44</f>
        <v>0</v>
      </c>
      <c r="F47" s="8">
        <f>'2. 안전성 검토_계산조건'!G44</f>
        <v>1500</v>
      </c>
      <c r="G47" s="8">
        <f>'2. 안전성 검토_계산조건'!H44</f>
        <v>12.7</v>
      </c>
      <c r="H47" s="15" t="e">
        <f>'2. 안전성 검토_계산조건'!I44</f>
        <v>#REF!</v>
      </c>
      <c r="I47" s="8" t="e">
        <f>'2. 안전성 검토_계산조건'!J44</f>
        <v>#REF!</v>
      </c>
      <c r="J47" s="8" t="e">
        <f>'2. 안전성 검토_계산조건'!K44</f>
        <v>#REF!</v>
      </c>
      <c r="K47" s="8" t="e">
        <f>'2. 안전성 검토_계산조건'!L44</f>
        <v>#REF!</v>
      </c>
      <c r="L47" s="8" t="e">
        <f>'2. 안전성 검토_계산조건'!M44</f>
        <v>#REF!</v>
      </c>
      <c r="M47" s="22" t="e">
        <f>'2. 안전성 검토_계산조건'!N44</f>
        <v>#REF!</v>
      </c>
      <c r="N47" s="94"/>
      <c r="O47" s="103">
        <f t="shared" si="0"/>
        <v>5.0199999999999996</v>
      </c>
      <c r="P47" s="95" t="str">
        <f t="shared" si="1"/>
        <v>OK</v>
      </c>
    </row>
    <row r="48" spans="1:16">
      <c r="A48" s="59">
        <f>'2. 안전성 검토_계산조건'!B45</f>
        <v>46</v>
      </c>
      <c r="B48" s="66" t="str">
        <f>'2. 안전성 검토_계산조건'!C45</f>
        <v>A-21</v>
      </c>
      <c r="C48" s="8">
        <f>'2. 안전성 검토_계산조건'!D45</f>
        <v>633</v>
      </c>
      <c r="D48" s="8" t="str">
        <f>'2. 안전성 검토_계산조건'!E45</f>
        <v>+</v>
      </c>
      <c r="E48" s="8">
        <f>'2. 안전성 검토_계산조건'!F45</f>
        <v>0</v>
      </c>
      <c r="F48" s="8">
        <f>'2. 안전성 검토_계산조건'!G45</f>
        <v>1500</v>
      </c>
      <c r="G48" s="8">
        <f>'2. 안전성 검토_계산조건'!H45</f>
        <v>12.7</v>
      </c>
      <c r="H48" s="15" t="e">
        <f>'2. 안전성 검토_계산조건'!I45</f>
        <v>#REF!</v>
      </c>
      <c r="I48" s="8" t="e">
        <f>'2. 안전성 검토_계산조건'!J45</f>
        <v>#REF!</v>
      </c>
      <c r="J48" s="8" t="e">
        <f>'2. 안전성 검토_계산조건'!K45</f>
        <v>#REF!</v>
      </c>
      <c r="K48" s="8" t="e">
        <f>'2. 안전성 검토_계산조건'!L45</f>
        <v>#REF!</v>
      </c>
      <c r="L48" s="8" t="e">
        <f>'2. 안전성 검토_계산조건'!M45</f>
        <v>#REF!</v>
      </c>
      <c r="M48" s="22" t="e">
        <f>'2. 안전성 검토_계산조건'!N45</f>
        <v>#REF!</v>
      </c>
      <c r="N48" s="94"/>
      <c r="O48" s="103">
        <f t="shared" si="0"/>
        <v>5.0199999999999996</v>
      </c>
      <c r="P48" s="95" t="str">
        <f t="shared" si="1"/>
        <v>OK</v>
      </c>
    </row>
    <row r="49" spans="1:16">
      <c r="A49" s="59">
        <f>'2. 안전성 검토_계산조건'!B46</f>
        <v>47</v>
      </c>
      <c r="B49" s="66" t="str">
        <f>'2. 안전성 검토_계산조건'!C46</f>
        <v>A-21</v>
      </c>
      <c r="C49" s="8">
        <f>'2. 안전성 검토_계산조건'!D46</f>
        <v>637</v>
      </c>
      <c r="D49" s="8" t="str">
        <f>'2. 안전성 검토_계산조건'!E46</f>
        <v>+</v>
      </c>
      <c r="E49" s="8">
        <f>'2. 안전성 검토_계산조건'!F46</f>
        <v>22.92</v>
      </c>
      <c r="F49" s="8">
        <f>'2. 안전성 검토_계산조건'!G46</f>
        <v>1500</v>
      </c>
      <c r="G49" s="8">
        <f>'2. 안전성 검토_계산조건'!H46</f>
        <v>12.7</v>
      </c>
      <c r="H49" s="15" t="e">
        <f>'2. 안전성 검토_계산조건'!I46</f>
        <v>#REF!</v>
      </c>
      <c r="I49" s="8" t="e">
        <f>'2. 안전성 검토_계산조건'!J46</f>
        <v>#REF!</v>
      </c>
      <c r="J49" s="8" t="e">
        <f>'2. 안전성 검토_계산조건'!K46</f>
        <v>#REF!</v>
      </c>
      <c r="K49" s="8" t="e">
        <f>'2. 안전성 검토_계산조건'!L46</f>
        <v>#REF!</v>
      </c>
      <c r="L49" s="8" t="e">
        <f>'2. 안전성 검토_계산조건'!M46</f>
        <v>#REF!</v>
      </c>
      <c r="M49" s="22" t="e">
        <f>'2. 안전성 검토_계산조건'!N46</f>
        <v>#REF!</v>
      </c>
      <c r="N49" s="94"/>
      <c r="O49" s="103">
        <f t="shared" si="0"/>
        <v>5.0199999999999996</v>
      </c>
      <c r="P49" s="95" t="str">
        <f t="shared" si="1"/>
        <v>OK</v>
      </c>
    </row>
    <row r="50" spans="1:16">
      <c r="A50" s="59">
        <f>'2. 안전성 검토_계산조건'!B47</f>
        <v>48</v>
      </c>
      <c r="B50" s="66" t="str">
        <f>'2. 안전성 검토_계산조건'!C47</f>
        <v>A-22</v>
      </c>
      <c r="C50" s="8">
        <f>'2. 안전성 검토_계산조건'!D47</f>
        <v>638</v>
      </c>
      <c r="D50" s="8" t="str">
        <f>'2. 안전성 검토_계산조건'!E47</f>
        <v>+</v>
      </c>
      <c r="E50" s="8">
        <f>'2. 안전성 검토_계산조건'!F47</f>
        <v>0</v>
      </c>
      <c r="F50" s="8">
        <f>'2. 안전성 검토_계산조건'!G47</f>
        <v>1500</v>
      </c>
      <c r="G50" s="8">
        <f>'2. 안전성 검토_계산조건'!H47</f>
        <v>12.7</v>
      </c>
      <c r="H50" s="15" t="e">
        <f>'2. 안전성 검토_계산조건'!I47</f>
        <v>#REF!</v>
      </c>
      <c r="I50" s="8" t="e">
        <f>'2. 안전성 검토_계산조건'!J47</f>
        <v>#REF!</v>
      </c>
      <c r="J50" s="8" t="e">
        <f>'2. 안전성 검토_계산조건'!K47</f>
        <v>#REF!</v>
      </c>
      <c r="K50" s="8" t="e">
        <f>'2. 안전성 검토_계산조건'!L47</f>
        <v>#REF!</v>
      </c>
      <c r="L50" s="8" t="e">
        <f>'2. 안전성 검토_계산조건'!M47</f>
        <v>#REF!</v>
      </c>
      <c r="M50" s="22" t="e">
        <f>'2. 안전성 검토_계산조건'!N47</f>
        <v>#REF!</v>
      </c>
      <c r="N50" s="94"/>
      <c r="O50" s="103">
        <f t="shared" si="0"/>
        <v>5.0199999999999996</v>
      </c>
      <c r="P50" s="95" t="str">
        <f t="shared" si="1"/>
        <v>OK</v>
      </c>
    </row>
    <row r="51" spans="1:16">
      <c r="A51" s="59">
        <f>'2. 안전성 검토_계산조건'!B48</f>
        <v>49</v>
      </c>
      <c r="B51" s="66" t="str">
        <f>'2. 안전성 검토_계산조건'!C48</f>
        <v>A-22</v>
      </c>
      <c r="C51" s="8">
        <f>'2. 안전성 검토_계산조건'!D48</f>
        <v>641</v>
      </c>
      <c r="D51" s="8" t="str">
        <f>'2. 안전성 검토_계산조건'!E48</f>
        <v>+</v>
      </c>
      <c r="E51" s="8">
        <f>'2. 안전성 검토_계산조건'!F48</f>
        <v>11.71</v>
      </c>
      <c r="F51" s="8">
        <f>'2. 안전성 검토_계산조건'!G48</f>
        <v>1500</v>
      </c>
      <c r="G51" s="8">
        <f>'2. 안전성 검토_계산조건'!H48</f>
        <v>12.7</v>
      </c>
      <c r="H51" s="15" t="e">
        <f>'2. 안전성 검토_계산조건'!I48</f>
        <v>#REF!</v>
      </c>
      <c r="I51" s="8" t="e">
        <f>'2. 안전성 검토_계산조건'!J48</f>
        <v>#REF!</v>
      </c>
      <c r="J51" s="8" t="e">
        <f>'2. 안전성 검토_계산조건'!K48</f>
        <v>#REF!</v>
      </c>
      <c r="K51" s="8" t="e">
        <f>'2. 안전성 검토_계산조건'!L48</f>
        <v>#REF!</v>
      </c>
      <c r="L51" s="8" t="e">
        <f>'2. 안전성 검토_계산조건'!M48</f>
        <v>#REF!</v>
      </c>
      <c r="M51" s="22" t="e">
        <f>'2. 안전성 검토_계산조건'!N48</f>
        <v>#REF!</v>
      </c>
      <c r="N51" s="94"/>
      <c r="O51" s="103">
        <f t="shared" si="0"/>
        <v>5.0199999999999996</v>
      </c>
      <c r="P51" s="95" t="str">
        <f t="shared" si="1"/>
        <v>OK</v>
      </c>
    </row>
    <row r="52" spans="1:16">
      <c r="A52" s="59">
        <f>'2. 안전성 검토_계산조건'!B49</f>
        <v>50</v>
      </c>
      <c r="B52" s="66" t="str">
        <f>'2. 안전성 검토_계산조건'!C49</f>
        <v>A-23</v>
      </c>
      <c r="C52" s="8">
        <f>'2. 안전성 검토_계산조건'!D49</f>
        <v>646</v>
      </c>
      <c r="D52" s="8" t="str">
        <f>'2. 안전성 검토_계산조건'!E49</f>
        <v>+</v>
      </c>
      <c r="E52" s="8">
        <f>'2. 안전성 검토_계산조건'!F49</f>
        <v>0</v>
      </c>
      <c r="F52" s="8">
        <f>'2. 안전성 검토_계산조건'!G49</f>
        <v>1500</v>
      </c>
      <c r="G52" s="8">
        <f>'2. 안전성 검토_계산조건'!H49</f>
        <v>12.7</v>
      </c>
      <c r="H52" s="15" t="e">
        <f>'2. 안전성 검토_계산조건'!I49</f>
        <v>#REF!</v>
      </c>
      <c r="I52" s="8" t="e">
        <f>'2. 안전성 검토_계산조건'!J49</f>
        <v>#REF!</v>
      </c>
      <c r="J52" s="8" t="e">
        <f>'2. 안전성 검토_계산조건'!K49</f>
        <v>#REF!</v>
      </c>
      <c r="K52" s="8" t="e">
        <f>'2. 안전성 검토_계산조건'!L49</f>
        <v>#REF!</v>
      </c>
      <c r="L52" s="8" t="e">
        <f>'2. 안전성 검토_계산조건'!M49</f>
        <v>#REF!</v>
      </c>
      <c r="M52" s="22" t="e">
        <f>'2. 안전성 검토_계산조건'!N49</f>
        <v>#REF!</v>
      </c>
      <c r="N52" s="94"/>
      <c r="O52" s="103">
        <f t="shared" si="0"/>
        <v>5.0199999999999996</v>
      </c>
      <c r="P52" s="95" t="str">
        <f t="shared" si="1"/>
        <v>OK</v>
      </c>
    </row>
    <row r="53" spans="1:16">
      <c r="A53" s="59">
        <f>'2. 안전성 검토_계산조건'!B50</f>
        <v>51</v>
      </c>
      <c r="B53" s="66" t="str">
        <f>'2. 안전성 검토_계산조건'!C50</f>
        <v>A-23</v>
      </c>
      <c r="C53" s="8">
        <f>'2. 안전성 검토_계산조건'!D50</f>
        <v>648</v>
      </c>
      <c r="D53" s="8" t="str">
        <f>'2. 안전성 검토_계산조건'!E50</f>
        <v>+</v>
      </c>
      <c r="E53" s="8">
        <f>'2. 안전성 검토_계산조건'!F50</f>
        <v>36.19</v>
      </c>
      <c r="F53" s="8">
        <f>'2. 안전성 검토_계산조건'!G50</f>
        <v>1500</v>
      </c>
      <c r="G53" s="8">
        <f>'2. 안전성 검토_계산조건'!H50</f>
        <v>12.7</v>
      </c>
      <c r="H53" s="15" t="e">
        <f>'2. 안전성 검토_계산조건'!I50</f>
        <v>#REF!</v>
      </c>
      <c r="I53" s="8" t="e">
        <f>'2. 안전성 검토_계산조건'!J50</f>
        <v>#REF!</v>
      </c>
      <c r="J53" s="8" t="e">
        <f>'2. 안전성 검토_계산조건'!K50</f>
        <v>#REF!</v>
      </c>
      <c r="K53" s="8" t="e">
        <f>'2. 안전성 검토_계산조건'!L50</f>
        <v>#REF!</v>
      </c>
      <c r="L53" s="8" t="e">
        <f>'2. 안전성 검토_계산조건'!M50</f>
        <v>#REF!</v>
      </c>
      <c r="M53" s="22" t="e">
        <f>'2. 안전성 검토_계산조건'!N50</f>
        <v>#REF!</v>
      </c>
      <c r="N53" s="94"/>
      <c r="O53" s="103">
        <f t="shared" si="0"/>
        <v>5.0199999999999996</v>
      </c>
      <c r="P53" s="95" t="str">
        <f t="shared" si="1"/>
        <v>OK</v>
      </c>
    </row>
    <row r="54" spans="1:16">
      <c r="A54" s="59">
        <f>'2. 안전성 검토_계산조건'!B51</f>
        <v>52</v>
      </c>
      <c r="B54" s="66" t="str">
        <f>'2. 안전성 검토_계산조건'!C51</f>
        <v>A-24</v>
      </c>
      <c r="C54" s="8">
        <f>'2. 안전성 검토_계산조건'!D51</f>
        <v>670</v>
      </c>
      <c r="D54" s="8" t="str">
        <f>'2. 안전성 검토_계산조건'!E51</f>
        <v>+</v>
      </c>
      <c r="E54" s="8">
        <f>'2. 안전성 검토_계산조건'!F51</f>
        <v>0</v>
      </c>
      <c r="F54" s="8">
        <f>'2. 안전성 검토_계산조건'!G51</f>
        <v>1500</v>
      </c>
      <c r="G54" s="8">
        <f>'2. 안전성 검토_계산조건'!H51</f>
        <v>12.7</v>
      </c>
      <c r="H54" s="15" t="e">
        <f>'2. 안전성 검토_계산조건'!I51</f>
        <v>#REF!</v>
      </c>
      <c r="I54" s="8" t="e">
        <f>'2. 안전성 검토_계산조건'!J51</f>
        <v>#REF!</v>
      </c>
      <c r="J54" s="8" t="e">
        <f>'2. 안전성 검토_계산조건'!K51</f>
        <v>#REF!</v>
      </c>
      <c r="K54" s="8" t="e">
        <f>'2. 안전성 검토_계산조건'!L51</f>
        <v>#REF!</v>
      </c>
      <c r="L54" s="8" t="e">
        <f>'2. 안전성 검토_계산조건'!M51</f>
        <v>#REF!</v>
      </c>
      <c r="M54" s="22" t="e">
        <f>'2. 안전성 검토_계산조건'!N51</f>
        <v>#REF!</v>
      </c>
      <c r="N54" s="94"/>
      <c r="O54" s="103">
        <f t="shared" si="0"/>
        <v>5.0199999999999996</v>
      </c>
      <c r="P54" s="95" t="str">
        <f t="shared" si="1"/>
        <v>OK</v>
      </c>
    </row>
    <row r="55" spans="1:16">
      <c r="A55" s="59">
        <f>'2. 안전성 검토_계산조건'!B52</f>
        <v>53</v>
      </c>
      <c r="B55" s="66" t="str">
        <f>'2. 안전성 검토_계산조건'!C52</f>
        <v>A-24</v>
      </c>
      <c r="C55" s="8">
        <f>'2. 안전성 검토_계산조건'!D52</f>
        <v>692</v>
      </c>
      <c r="D55" s="8" t="str">
        <f>'2. 안전성 검토_계산조건'!E52</f>
        <v>+</v>
      </c>
      <c r="E55" s="8">
        <f>'2. 안전성 검토_계산조건'!F52</f>
        <v>0</v>
      </c>
      <c r="F55" s="8">
        <f>'2. 안전성 검토_계산조건'!G52</f>
        <v>1500</v>
      </c>
      <c r="G55" s="8">
        <f>'2. 안전성 검토_계산조건'!H52</f>
        <v>12.7</v>
      </c>
      <c r="H55" s="15" t="e">
        <f>'2. 안전성 검토_계산조건'!I52</f>
        <v>#REF!</v>
      </c>
      <c r="I55" s="8" t="e">
        <f>'2. 안전성 검토_계산조건'!J52</f>
        <v>#REF!</v>
      </c>
      <c r="J55" s="8" t="e">
        <f>'2. 안전성 검토_계산조건'!K52</f>
        <v>#REF!</v>
      </c>
      <c r="K55" s="8" t="e">
        <f>'2. 안전성 검토_계산조건'!L52</f>
        <v>#REF!</v>
      </c>
      <c r="L55" s="8" t="e">
        <f>'2. 안전성 검토_계산조건'!M52</f>
        <v>#REF!</v>
      </c>
      <c r="M55" s="22" t="e">
        <f>'2. 안전성 검토_계산조건'!N52</f>
        <v>#REF!</v>
      </c>
      <c r="N55" s="94"/>
      <c r="O55" s="103">
        <f t="shared" si="0"/>
        <v>5.0199999999999996</v>
      </c>
      <c r="P55" s="95" t="str">
        <f t="shared" si="1"/>
        <v>OK</v>
      </c>
    </row>
    <row r="56" spans="1:16">
      <c r="A56" s="59">
        <f>'2. 안전성 검토_계산조건'!B53</f>
        <v>54</v>
      </c>
      <c r="B56" s="66" t="str">
        <f>'2. 안전성 검토_계산조건'!C53</f>
        <v>A-25</v>
      </c>
      <c r="C56" s="8">
        <f>'2. 안전성 검토_계산조건'!D53</f>
        <v>703</v>
      </c>
      <c r="D56" s="8" t="str">
        <f>'2. 안전성 검토_계산조건'!E53</f>
        <v>+</v>
      </c>
      <c r="E56" s="8">
        <f>'2. 안전성 검토_계산조건'!F53</f>
        <v>6</v>
      </c>
      <c r="F56" s="8">
        <f>'2. 안전성 검토_계산조건'!G53</f>
        <v>1500</v>
      </c>
      <c r="G56" s="8">
        <f>'2. 안전성 검토_계산조건'!H53</f>
        <v>12.7</v>
      </c>
      <c r="H56" s="15" t="e">
        <f>'2. 안전성 검토_계산조건'!I53</f>
        <v>#REF!</v>
      </c>
      <c r="I56" s="8" t="e">
        <f>'2. 안전성 검토_계산조건'!J53</f>
        <v>#REF!</v>
      </c>
      <c r="J56" s="8" t="e">
        <f>'2. 안전성 검토_계산조건'!K53</f>
        <v>#REF!</v>
      </c>
      <c r="K56" s="8" t="e">
        <f>'2. 안전성 검토_계산조건'!L53</f>
        <v>#REF!</v>
      </c>
      <c r="L56" s="8" t="e">
        <f>'2. 안전성 검토_계산조건'!M53</f>
        <v>#REF!</v>
      </c>
      <c r="M56" s="22" t="e">
        <f>'2. 안전성 검토_계산조건'!N53</f>
        <v>#REF!</v>
      </c>
      <c r="N56" s="94"/>
      <c r="O56" s="103">
        <f t="shared" si="0"/>
        <v>5.0199999999999996</v>
      </c>
      <c r="P56" s="95" t="str">
        <f t="shared" si="1"/>
        <v>OK</v>
      </c>
    </row>
    <row r="57" spans="1:16">
      <c r="A57" s="59">
        <f>'2. 안전성 검토_계산조건'!B54</f>
        <v>55</v>
      </c>
      <c r="B57" s="66" t="str">
        <f>'2. 안전성 검토_계산조건'!C54</f>
        <v>A-25</v>
      </c>
      <c r="C57" s="8">
        <f>'2. 안전성 검토_계산조건'!D54</f>
        <v>704</v>
      </c>
      <c r="D57" s="8" t="str">
        <f>'2. 안전성 검토_계산조건'!E54</f>
        <v>+</v>
      </c>
      <c r="E57" s="8">
        <f>'2. 안전성 검토_계산조건'!F54</f>
        <v>8.32</v>
      </c>
      <c r="F57" s="8">
        <f>'2. 안전성 검토_계산조건'!G54</f>
        <v>1500</v>
      </c>
      <c r="G57" s="8">
        <f>'2. 안전성 검토_계산조건'!H54</f>
        <v>12.7</v>
      </c>
      <c r="H57" s="15" t="e">
        <f>'2. 안전성 검토_계산조건'!I54</f>
        <v>#REF!</v>
      </c>
      <c r="I57" s="8" t="e">
        <f>'2. 안전성 검토_계산조건'!J54</f>
        <v>#REF!</v>
      </c>
      <c r="J57" s="8" t="e">
        <f>'2. 안전성 검토_계산조건'!K54</f>
        <v>#REF!</v>
      </c>
      <c r="K57" s="8" t="e">
        <f>'2. 안전성 검토_계산조건'!L54</f>
        <v>#REF!</v>
      </c>
      <c r="L57" s="8" t="e">
        <f>'2. 안전성 검토_계산조건'!M54</f>
        <v>#REF!</v>
      </c>
      <c r="M57" s="22" t="e">
        <f>'2. 안전성 검토_계산조건'!N54</f>
        <v>#REF!</v>
      </c>
      <c r="N57" s="94"/>
      <c r="O57" s="103">
        <f t="shared" si="0"/>
        <v>5.0199999999999996</v>
      </c>
      <c r="P57" s="95" t="str">
        <f t="shared" si="1"/>
        <v>OK</v>
      </c>
    </row>
    <row r="58" spans="1:16">
      <c r="A58" s="59">
        <f>'2. 안전성 검토_계산조건'!B55</f>
        <v>56</v>
      </c>
      <c r="B58" s="66" t="str">
        <f>'2. 안전성 검토_계산조건'!C55</f>
        <v>A-25</v>
      </c>
      <c r="C58" s="8">
        <f>'2. 안전성 검토_계산조건'!D55</f>
        <v>714</v>
      </c>
      <c r="D58" s="8" t="str">
        <f>'2. 안전성 검토_계산조건'!E55</f>
        <v>+</v>
      </c>
      <c r="E58" s="8">
        <f>'2. 안전성 검토_계산조건'!F55</f>
        <v>0</v>
      </c>
      <c r="F58" s="8">
        <f>'2. 안전성 검토_계산조건'!G55</f>
        <v>1500</v>
      </c>
      <c r="G58" s="8">
        <f>'2. 안전성 검토_계산조건'!H55</f>
        <v>12.7</v>
      </c>
      <c r="H58" s="15" t="e">
        <f>'2. 안전성 검토_계산조건'!I55</f>
        <v>#REF!</v>
      </c>
      <c r="I58" s="8" t="e">
        <f>'2. 안전성 검토_계산조건'!J55</f>
        <v>#REF!</v>
      </c>
      <c r="J58" s="8" t="e">
        <f>'2. 안전성 검토_계산조건'!K55</f>
        <v>#REF!</v>
      </c>
      <c r="K58" s="8" t="e">
        <f>'2. 안전성 검토_계산조건'!L55</f>
        <v>#REF!</v>
      </c>
      <c r="L58" s="8" t="e">
        <f>'2. 안전성 검토_계산조건'!M55</f>
        <v>#REF!</v>
      </c>
      <c r="M58" s="22" t="e">
        <f>'2. 안전성 검토_계산조건'!N55</f>
        <v>#REF!</v>
      </c>
      <c r="N58" s="94"/>
      <c r="O58" s="103">
        <f t="shared" si="0"/>
        <v>5.0199999999999996</v>
      </c>
      <c r="P58" s="95" t="str">
        <f t="shared" si="1"/>
        <v>OK</v>
      </c>
    </row>
    <row r="59" spans="1:16">
      <c r="A59" s="59">
        <f>'2. 안전성 검토_계산조건'!B56</f>
        <v>57</v>
      </c>
      <c r="B59" s="66" t="str">
        <f>'2. 안전성 검토_계산조건'!C56</f>
        <v>A-26</v>
      </c>
      <c r="C59" s="8">
        <f>'2. 안전성 검토_계산조건'!D56</f>
        <v>743</v>
      </c>
      <c r="D59" s="8" t="str">
        <f>'2. 안전성 검토_계산조건'!E56</f>
        <v>+</v>
      </c>
      <c r="E59" s="8">
        <f>'2. 안전성 검토_계산조건'!F56</f>
        <v>13.19</v>
      </c>
      <c r="F59" s="8">
        <f>'2. 안전성 검토_계산조건'!G56</f>
        <v>1500</v>
      </c>
      <c r="G59" s="8">
        <f>'2. 안전성 검토_계산조건'!H56</f>
        <v>12.7</v>
      </c>
      <c r="H59" s="15" t="e">
        <f>'2. 안전성 검토_계산조건'!I56</f>
        <v>#REF!</v>
      </c>
      <c r="I59" s="8" t="e">
        <f>'2. 안전성 검토_계산조건'!J56</f>
        <v>#REF!</v>
      </c>
      <c r="J59" s="8" t="e">
        <f>'2. 안전성 검토_계산조건'!K56</f>
        <v>#REF!</v>
      </c>
      <c r="K59" s="8" t="e">
        <f>'2. 안전성 검토_계산조건'!L56</f>
        <v>#REF!</v>
      </c>
      <c r="L59" s="8" t="e">
        <f>'2. 안전성 검토_계산조건'!M56</f>
        <v>#REF!</v>
      </c>
      <c r="M59" s="22" t="e">
        <f>'2. 안전성 검토_계산조건'!N56</f>
        <v>#REF!</v>
      </c>
      <c r="N59" s="94"/>
      <c r="O59" s="103">
        <f t="shared" si="0"/>
        <v>5.0199999999999996</v>
      </c>
      <c r="P59" s="95" t="str">
        <f t="shared" si="1"/>
        <v>OK</v>
      </c>
    </row>
    <row r="60" spans="1:16">
      <c r="A60" s="59">
        <f>'2. 안전성 검토_계산조건'!B57</f>
        <v>58</v>
      </c>
      <c r="B60" s="66" t="str">
        <f>'2. 안전성 검토_계산조건'!C57</f>
        <v>A-26</v>
      </c>
      <c r="C60" s="8">
        <f>'2. 안전성 검토_계산조건'!D57</f>
        <v>757</v>
      </c>
      <c r="D60" s="8" t="str">
        <f>'2. 안전성 검토_계산조건'!E57</f>
        <v>+</v>
      </c>
      <c r="E60" s="8">
        <f>'2. 안전성 검토_계산조건'!F57</f>
        <v>0</v>
      </c>
      <c r="F60" s="8">
        <f>'2. 안전성 검토_계산조건'!G57</f>
        <v>1500</v>
      </c>
      <c r="G60" s="8">
        <f>'2. 안전성 검토_계산조건'!H57</f>
        <v>12.7</v>
      </c>
      <c r="H60" s="15" t="e">
        <f>'2. 안전성 검토_계산조건'!I57</f>
        <v>#REF!</v>
      </c>
      <c r="I60" s="8" t="e">
        <f>'2. 안전성 검토_계산조건'!J57</f>
        <v>#REF!</v>
      </c>
      <c r="J60" s="8" t="e">
        <f>'2. 안전성 검토_계산조건'!K57</f>
        <v>#REF!</v>
      </c>
      <c r="K60" s="8" t="e">
        <f>'2. 안전성 검토_계산조건'!L57</f>
        <v>#REF!</v>
      </c>
      <c r="L60" s="8" t="e">
        <f>'2. 안전성 검토_계산조건'!M57</f>
        <v>#REF!</v>
      </c>
      <c r="M60" s="22" t="e">
        <f>'2. 안전성 검토_계산조건'!N57</f>
        <v>#REF!</v>
      </c>
      <c r="N60" s="94"/>
      <c r="O60" s="103">
        <f t="shared" si="0"/>
        <v>5.0199999999999996</v>
      </c>
      <c r="P60" s="95" t="str">
        <f t="shared" si="1"/>
        <v>OK</v>
      </c>
    </row>
    <row r="61" spans="1:16">
      <c r="A61" s="59">
        <f>'2. 안전성 검토_계산조건'!B58</f>
        <v>59</v>
      </c>
      <c r="B61" s="66" t="str">
        <f>'2. 안전성 검토_계산조건'!C58</f>
        <v>A-27</v>
      </c>
      <c r="C61" s="8">
        <f>'2. 안전성 검토_계산조건'!D58</f>
        <v>793</v>
      </c>
      <c r="D61" s="8" t="str">
        <f>'2. 안전성 검토_계산조건'!E58</f>
        <v>+</v>
      </c>
      <c r="E61" s="8">
        <f>'2. 안전성 검토_계산조건'!F58</f>
        <v>0</v>
      </c>
      <c r="F61" s="8">
        <f>'2. 안전성 검토_계산조건'!G58</f>
        <v>1500</v>
      </c>
      <c r="G61" s="8">
        <f>'2. 안전성 검토_계산조건'!H58</f>
        <v>12.7</v>
      </c>
      <c r="H61" s="15" t="e">
        <f>'2. 안전성 검토_계산조건'!I58</f>
        <v>#REF!</v>
      </c>
      <c r="I61" s="8" t="e">
        <f>'2. 안전성 검토_계산조건'!J58</f>
        <v>#REF!</v>
      </c>
      <c r="J61" s="8" t="e">
        <f>'2. 안전성 검토_계산조건'!K58</f>
        <v>#REF!</v>
      </c>
      <c r="K61" s="8" t="e">
        <f>'2. 안전성 검토_계산조건'!L58</f>
        <v>#REF!</v>
      </c>
      <c r="L61" s="8" t="e">
        <f>'2. 안전성 검토_계산조건'!M58</f>
        <v>#REF!</v>
      </c>
      <c r="M61" s="22" t="e">
        <f>'2. 안전성 검토_계산조건'!N58</f>
        <v>#REF!</v>
      </c>
      <c r="N61" s="94"/>
      <c r="O61" s="103">
        <f t="shared" si="0"/>
        <v>5.0199999999999996</v>
      </c>
      <c r="P61" s="95" t="str">
        <f t="shared" si="1"/>
        <v>OK</v>
      </c>
    </row>
    <row r="62" spans="1:16">
      <c r="A62" s="59">
        <f>'2. 안전성 검토_계산조건'!B59</f>
        <v>60</v>
      </c>
      <c r="B62" s="66" t="str">
        <f>'2. 안전성 검토_계산조건'!C59</f>
        <v>A-27</v>
      </c>
      <c r="C62" s="8">
        <f>'2. 안전성 검토_계산조건'!D59</f>
        <v>798</v>
      </c>
      <c r="D62" s="8" t="str">
        <f>'2. 안전성 검토_계산조건'!E59</f>
        <v>+</v>
      </c>
      <c r="E62" s="8">
        <f>'2. 안전성 검토_계산조건'!F59</f>
        <v>0</v>
      </c>
      <c r="F62" s="8">
        <f>'2. 안전성 검토_계산조건'!G59</f>
        <v>1500</v>
      </c>
      <c r="G62" s="8">
        <f>'2. 안전성 검토_계산조건'!H59</f>
        <v>12.7</v>
      </c>
      <c r="H62" s="15" t="e">
        <f>'2. 안전성 검토_계산조건'!I59</f>
        <v>#REF!</v>
      </c>
      <c r="I62" s="8" t="e">
        <f>'2. 안전성 검토_계산조건'!J59</f>
        <v>#REF!</v>
      </c>
      <c r="J62" s="8" t="e">
        <f>'2. 안전성 검토_계산조건'!K59</f>
        <v>#REF!</v>
      </c>
      <c r="K62" s="8" t="e">
        <f>'2. 안전성 검토_계산조건'!L59</f>
        <v>#REF!</v>
      </c>
      <c r="L62" s="8" t="e">
        <f>'2. 안전성 검토_계산조건'!M59</f>
        <v>#REF!</v>
      </c>
      <c r="M62" s="22" t="e">
        <f>'2. 안전성 검토_계산조건'!N59</f>
        <v>#REF!</v>
      </c>
      <c r="N62" s="94"/>
      <c r="O62" s="103">
        <f t="shared" si="0"/>
        <v>5.0199999999999996</v>
      </c>
      <c r="P62" s="95" t="str">
        <f t="shared" si="1"/>
        <v>OK</v>
      </c>
    </row>
    <row r="63" spans="1:16">
      <c r="A63" s="59">
        <f>'2. 안전성 검토_계산조건'!B60</f>
        <v>61</v>
      </c>
      <c r="B63" s="66" t="str">
        <f>'2. 안전성 검토_계산조건'!C60</f>
        <v>A-27</v>
      </c>
      <c r="C63" s="8">
        <f>'2. 안전성 검토_계산조건'!D60</f>
        <v>806</v>
      </c>
      <c r="D63" s="8" t="str">
        <f>'2. 안전성 검토_계산조건'!E60</f>
        <v>+</v>
      </c>
      <c r="E63" s="8">
        <f>'2. 안전성 검토_계산조건'!F60</f>
        <v>0</v>
      </c>
      <c r="F63" s="8">
        <f>'2. 안전성 검토_계산조건'!G60</f>
        <v>1500</v>
      </c>
      <c r="G63" s="8">
        <f>'2. 안전성 검토_계산조건'!H60</f>
        <v>12.7</v>
      </c>
      <c r="H63" s="15" t="e">
        <f>'2. 안전성 검토_계산조건'!I60</f>
        <v>#REF!</v>
      </c>
      <c r="I63" s="8" t="e">
        <f>'2. 안전성 검토_계산조건'!J60</f>
        <v>#REF!</v>
      </c>
      <c r="J63" s="8" t="e">
        <f>'2. 안전성 검토_계산조건'!K60</f>
        <v>#REF!</v>
      </c>
      <c r="K63" s="8" t="e">
        <f>'2. 안전성 검토_계산조건'!L60</f>
        <v>#REF!</v>
      </c>
      <c r="L63" s="8" t="e">
        <f>'2. 안전성 검토_계산조건'!M60</f>
        <v>#REF!</v>
      </c>
      <c r="M63" s="22" t="e">
        <f>'2. 안전성 검토_계산조건'!N60</f>
        <v>#REF!</v>
      </c>
      <c r="N63" s="94"/>
      <c r="O63" s="103">
        <f t="shared" si="0"/>
        <v>5.0199999999999996</v>
      </c>
      <c r="P63" s="95" t="str">
        <f t="shared" si="1"/>
        <v>OK</v>
      </c>
    </row>
    <row r="64" spans="1:16">
      <c r="A64" s="59">
        <f>'2. 안전성 검토_계산조건'!B61</f>
        <v>62</v>
      </c>
      <c r="B64" s="66" t="str">
        <f>'2. 안전성 검토_계산조건'!C61</f>
        <v>A-27</v>
      </c>
      <c r="C64" s="8">
        <f>'2. 안전성 검토_계산조건'!D61</f>
        <v>817</v>
      </c>
      <c r="D64" s="8" t="str">
        <f>'2. 안전성 검토_계산조건'!E61</f>
        <v>+</v>
      </c>
      <c r="E64" s="8">
        <f>'2. 안전성 검토_계산조건'!F61</f>
        <v>20</v>
      </c>
      <c r="F64" s="8">
        <f>'2. 안전성 검토_계산조건'!G61</f>
        <v>1500</v>
      </c>
      <c r="G64" s="8">
        <f>'2. 안전성 검토_계산조건'!H61</f>
        <v>12.7</v>
      </c>
      <c r="H64" s="15" t="e">
        <f>'2. 안전성 검토_계산조건'!I61</f>
        <v>#REF!</v>
      </c>
      <c r="I64" s="8" t="e">
        <f>'2. 안전성 검토_계산조건'!J61</f>
        <v>#REF!</v>
      </c>
      <c r="J64" s="8" t="e">
        <f>'2. 안전성 검토_계산조건'!K61</f>
        <v>#REF!</v>
      </c>
      <c r="K64" s="8" t="e">
        <f>'2. 안전성 검토_계산조건'!L61</f>
        <v>#REF!</v>
      </c>
      <c r="L64" s="8" t="e">
        <f>'2. 안전성 검토_계산조건'!M61</f>
        <v>#REF!</v>
      </c>
      <c r="M64" s="22" t="e">
        <f>'2. 안전성 검토_계산조건'!N61</f>
        <v>#REF!</v>
      </c>
      <c r="N64" s="94"/>
      <c r="O64" s="103">
        <f t="shared" si="0"/>
        <v>5.0199999999999996</v>
      </c>
      <c r="P64" s="95" t="str">
        <f t="shared" si="1"/>
        <v>OK</v>
      </c>
    </row>
    <row r="65" spans="1:16" ht="14.25" thickBot="1">
      <c r="A65" s="59">
        <f>'2. 안전성 검토_계산조건'!B62</f>
        <v>63</v>
      </c>
      <c r="B65" s="67" t="str">
        <f>'2. 안전성 검토_계산조건'!C62</f>
        <v>A-28</v>
      </c>
      <c r="C65" s="69">
        <f>'2. 안전성 검토_계산조건'!D62</f>
        <v>834</v>
      </c>
      <c r="D65" s="69" t="str">
        <f>'2. 안전성 검토_계산조건'!E62</f>
        <v>+</v>
      </c>
      <c r="E65" s="69">
        <f>'2. 안전성 검토_계산조건'!F62</f>
        <v>0</v>
      </c>
      <c r="F65" s="69">
        <f>'2. 안전성 검토_계산조건'!G62</f>
        <v>1500</v>
      </c>
      <c r="G65" s="69">
        <f>'2. 안전성 검토_계산조건'!H62</f>
        <v>12.7</v>
      </c>
      <c r="H65" s="96" t="e">
        <f>'2. 안전성 검토_계산조건'!I62</f>
        <v>#REF!</v>
      </c>
      <c r="I65" s="69" t="e">
        <f>'2. 안전성 검토_계산조건'!J62</f>
        <v>#REF!</v>
      </c>
      <c r="J65" s="69" t="e">
        <f>'2. 안전성 검토_계산조건'!K62</f>
        <v>#REF!</v>
      </c>
      <c r="K65" s="69" t="e">
        <f>'2. 안전성 검토_계산조건'!L62</f>
        <v>#REF!</v>
      </c>
      <c r="L65" s="69" t="e">
        <f>'2. 안전성 검토_계산조건'!M62</f>
        <v>#REF!</v>
      </c>
      <c r="M65" s="97" t="e">
        <f>'2. 안전성 검토_계산조건'!N62</f>
        <v>#REF!</v>
      </c>
      <c r="N65" s="98"/>
      <c r="O65" s="103">
        <f t="shared" si="0"/>
        <v>5.0199999999999996</v>
      </c>
      <c r="P65" s="99" t="str">
        <f t="shared" si="1"/>
        <v>OK</v>
      </c>
    </row>
    <row r="66" spans="1:16">
      <c r="A66" s="59">
        <f>'2. 안전성 검토_계산조건'!B63</f>
        <v>64</v>
      </c>
      <c r="B66" s="114" t="str">
        <f>'2. 안전성 검토_계산조건'!C63</f>
        <v>A-28</v>
      </c>
      <c r="C66" s="65">
        <f>'2. 안전성 검토_계산조건'!D63</f>
        <v>834</v>
      </c>
      <c r="D66" s="65" t="str">
        <f>'2. 안전성 검토_계산조건'!E63</f>
        <v>+</v>
      </c>
      <c r="E66" s="65">
        <f>'2. 안전성 검토_계산조건'!F63</f>
        <v>31.14</v>
      </c>
      <c r="F66" s="65">
        <f>'2. 안전성 검토_계산조건'!G63</f>
        <v>1500</v>
      </c>
      <c r="G66" s="65">
        <f>'2. 안전성 검토_계산조건'!H63</f>
        <v>12.7</v>
      </c>
      <c r="H66" s="115" t="e">
        <f>'2. 안전성 검토_계산조건'!I63</f>
        <v>#REF!</v>
      </c>
      <c r="I66" s="65" t="e">
        <f>'2. 안전성 검토_계산조건'!J63</f>
        <v>#REF!</v>
      </c>
      <c r="J66" s="65" t="e">
        <f>'2. 안전성 검토_계산조건'!K63</f>
        <v>#REF!</v>
      </c>
      <c r="K66" s="65" t="e">
        <f>'2. 안전성 검토_계산조건'!L63</f>
        <v>#REF!</v>
      </c>
      <c r="L66" s="65" t="e">
        <f>'2. 안전성 검토_계산조건'!M63</f>
        <v>#REF!</v>
      </c>
      <c r="M66" s="116" t="e">
        <f>'2. 안전성 검토_계산조건'!N63</f>
        <v>#REF!</v>
      </c>
      <c r="N66" s="117"/>
      <c r="O66" s="103">
        <f t="shared" si="0"/>
        <v>5.0199999999999996</v>
      </c>
      <c r="P66" s="118" t="str">
        <f t="shared" si="1"/>
        <v>OK</v>
      </c>
    </row>
    <row r="67" spans="1:16">
      <c r="A67" s="59">
        <f>'2. 안전성 검토_계산조건'!B64</f>
        <v>65</v>
      </c>
      <c r="B67" s="66" t="str">
        <f>'2. 안전성 검토_계산조건'!C64</f>
        <v>A-29</v>
      </c>
      <c r="C67" s="8">
        <f>'2. 안전성 검토_계산조건'!D64</f>
        <v>835</v>
      </c>
      <c r="D67" s="8" t="str">
        <f>'2. 안전성 검토_계산조건'!E64</f>
        <v>+</v>
      </c>
      <c r="E67" s="8">
        <f>'2. 안전성 검토_계산조건'!F64</f>
        <v>16.64</v>
      </c>
      <c r="F67" s="8">
        <f>'2. 안전성 검토_계산조건'!G64</f>
        <v>1500</v>
      </c>
      <c r="G67" s="8">
        <f>'2. 안전성 검토_계산조건'!H64</f>
        <v>12.7</v>
      </c>
      <c r="H67" s="15" t="e">
        <f>'2. 안전성 검토_계산조건'!I64</f>
        <v>#REF!</v>
      </c>
      <c r="I67" s="8" t="e">
        <f>'2. 안전성 검토_계산조건'!J64</f>
        <v>#REF!</v>
      </c>
      <c r="J67" s="8" t="e">
        <f>'2. 안전성 검토_계산조건'!K64</f>
        <v>#REF!</v>
      </c>
      <c r="K67" s="8" t="e">
        <f>'2. 안전성 검토_계산조건'!L64</f>
        <v>#REF!</v>
      </c>
      <c r="L67" s="8" t="e">
        <f>'2. 안전성 검토_계산조건'!M64</f>
        <v>#REF!</v>
      </c>
      <c r="M67" s="22" t="e">
        <f>'2. 안전성 검토_계산조건'!N64</f>
        <v>#REF!</v>
      </c>
      <c r="N67" s="94"/>
      <c r="O67" s="103">
        <f t="shared" si="0"/>
        <v>5.0199999999999996</v>
      </c>
      <c r="P67" s="95" t="str">
        <f t="shared" si="1"/>
        <v>OK</v>
      </c>
    </row>
    <row r="68" spans="1:16">
      <c r="A68" s="59">
        <f>'2. 안전성 검토_계산조건'!B65</f>
        <v>66</v>
      </c>
      <c r="B68" s="66" t="str">
        <f>'2. 안전성 검토_계산조건'!C65</f>
        <v>A-29</v>
      </c>
      <c r="C68" s="8">
        <f>'2. 안전성 검토_계산조건'!D65</f>
        <v>837</v>
      </c>
      <c r="D68" s="8" t="str">
        <f>'2. 안전성 검토_계산조건'!E65</f>
        <v>+</v>
      </c>
      <c r="E68" s="8">
        <f>'2. 안전성 검토_계산조건'!F65</f>
        <v>0</v>
      </c>
      <c r="F68" s="8">
        <f>'2. 안전성 검토_계산조건'!G65</f>
        <v>1500</v>
      </c>
      <c r="G68" s="8">
        <f>'2. 안전성 검토_계산조건'!H65</f>
        <v>12.7</v>
      </c>
      <c r="H68" s="15" t="e">
        <f>'2. 안전성 검토_계산조건'!I65</f>
        <v>#REF!</v>
      </c>
      <c r="I68" s="8" t="e">
        <f>'2. 안전성 검토_계산조건'!J65</f>
        <v>#REF!</v>
      </c>
      <c r="J68" s="8" t="e">
        <f>'2. 안전성 검토_계산조건'!K65</f>
        <v>#REF!</v>
      </c>
      <c r="K68" s="8" t="e">
        <f>'2. 안전성 검토_계산조건'!L65</f>
        <v>#REF!</v>
      </c>
      <c r="L68" s="8" t="e">
        <f>'2. 안전성 검토_계산조건'!M65</f>
        <v>#REF!</v>
      </c>
      <c r="M68" s="22" t="e">
        <f>'2. 안전성 검토_계산조건'!N65</f>
        <v>#REF!</v>
      </c>
      <c r="N68" s="94"/>
      <c r="O68" s="103">
        <f t="shared" si="0"/>
        <v>5.0199999999999996</v>
      </c>
      <c r="P68" s="95" t="str">
        <f t="shared" ref="P68:P70" si="2">IF(G68&gt;O68,"OK","NG")</f>
        <v>OK</v>
      </c>
    </row>
    <row r="69" spans="1:16">
      <c r="A69" s="59">
        <f>'2. 안전성 검토_계산조건'!B66</f>
        <v>67</v>
      </c>
      <c r="B69" s="66" t="str">
        <f>'2. 안전성 검토_계산조건'!C66</f>
        <v>A-30</v>
      </c>
      <c r="C69" s="8">
        <f>'2. 안전성 검토_계산조건'!D66</f>
        <v>871</v>
      </c>
      <c r="D69" s="8" t="str">
        <f>'2. 안전성 검토_계산조건'!E66</f>
        <v>+</v>
      </c>
      <c r="E69" s="8">
        <f>'2. 안전성 검토_계산조건'!F66</f>
        <v>0</v>
      </c>
      <c r="F69" s="8">
        <f>'2. 안전성 검토_계산조건'!G66</f>
        <v>1500</v>
      </c>
      <c r="G69" s="8">
        <f>'2. 안전성 검토_계산조건'!H66</f>
        <v>12.7</v>
      </c>
      <c r="H69" s="15" t="e">
        <f>'2. 안전성 검토_계산조건'!I66</f>
        <v>#REF!</v>
      </c>
      <c r="I69" s="8" t="e">
        <f>'2. 안전성 검토_계산조건'!J66</f>
        <v>#REF!</v>
      </c>
      <c r="J69" s="8" t="e">
        <f>'2. 안전성 검토_계산조건'!K66</f>
        <v>#REF!</v>
      </c>
      <c r="K69" s="8" t="e">
        <f>'2. 안전성 검토_계산조건'!L66</f>
        <v>#REF!</v>
      </c>
      <c r="L69" s="8" t="e">
        <f>'2. 안전성 검토_계산조건'!M66</f>
        <v>#REF!</v>
      </c>
      <c r="M69" s="22" t="e">
        <f>'2. 안전성 검토_계산조건'!N66</f>
        <v>#REF!</v>
      </c>
      <c r="N69" s="94"/>
      <c r="O69" s="103">
        <f t="shared" si="0"/>
        <v>5.0199999999999996</v>
      </c>
      <c r="P69" s="95" t="str">
        <f t="shared" si="2"/>
        <v>OK</v>
      </c>
    </row>
    <row r="70" spans="1:16" ht="14.25" thickBot="1">
      <c r="A70" s="59">
        <f>'2. 안전성 검토_계산조건'!B67</f>
        <v>68</v>
      </c>
      <c r="B70" s="67" t="str">
        <f>'2. 안전성 검토_계산조건'!C67</f>
        <v>A-30</v>
      </c>
      <c r="C70" s="69">
        <f>'2. 안전성 검토_계산조건'!D67</f>
        <v>881</v>
      </c>
      <c r="D70" s="69" t="str">
        <f>'2. 안전성 검토_계산조건'!E67</f>
        <v>+</v>
      </c>
      <c r="E70" s="69">
        <f>'2. 안전성 검토_계산조건'!F67</f>
        <v>38.770000000000003</v>
      </c>
      <c r="F70" s="69">
        <f>'2. 안전성 검토_계산조건'!G67</f>
        <v>1500</v>
      </c>
      <c r="G70" s="69">
        <f>'2. 안전성 검토_계산조건'!H67</f>
        <v>12.7</v>
      </c>
      <c r="H70" s="96" t="e">
        <f>'2. 안전성 검토_계산조건'!I67</f>
        <v>#REF!</v>
      </c>
      <c r="I70" s="69" t="e">
        <f>'2. 안전성 검토_계산조건'!J67</f>
        <v>#REF!</v>
      </c>
      <c r="J70" s="69" t="e">
        <f>'2. 안전성 검토_계산조건'!K67</f>
        <v>#REF!</v>
      </c>
      <c r="K70" s="69" t="e">
        <f>'2. 안전성 검토_계산조건'!L67</f>
        <v>#REF!</v>
      </c>
      <c r="L70" s="69" t="e">
        <f>'2. 안전성 검토_계산조건'!M67</f>
        <v>#REF!</v>
      </c>
      <c r="M70" s="97" t="e">
        <f>'2. 안전성 검토_계산조건'!N67</f>
        <v>#REF!</v>
      </c>
      <c r="N70" s="98"/>
      <c r="O70" s="103">
        <f t="shared" si="0"/>
        <v>5.0199999999999996</v>
      </c>
      <c r="P70" s="99" t="str">
        <f t="shared" si="2"/>
        <v>OK</v>
      </c>
    </row>
  </sheetData>
  <autoFilter ref="O5:P70" xr:uid="{43701E1A-4CCA-4805-A7EF-52614918F6C8}"/>
  <mergeCells count="2">
    <mergeCell ref="C5:E5"/>
    <mergeCell ref="I2:L3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9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425A-AEC0-49B9-8102-E8DEC39A8A44}">
  <dimension ref="A1:S20"/>
  <sheetViews>
    <sheetView view="pageBreakPreview" zoomScaleNormal="115" zoomScaleSheetLayoutView="100" workbookViewId="0">
      <selection activeCell="G39" sqref="G39"/>
    </sheetView>
  </sheetViews>
  <sheetFormatPr defaultRowHeight="10.5"/>
  <cols>
    <col min="1" max="2" width="6.88671875" style="169" bestFit="1" customWidth="1"/>
    <col min="3" max="3" width="6.88671875" style="170" bestFit="1" customWidth="1"/>
    <col min="4" max="4" width="2.6640625" style="171" bestFit="1" customWidth="1"/>
    <col min="5" max="5" width="1.88671875" style="169" bestFit="1" customWidth="1"/>
    <col min="6" max="6" width="4.33203125" style="169" bestFit="1" customWidth="1"/>
    <col min="7" max="7" width="8.33203125" style="169" bestFit="1" customWidth="1"/>
    <col min="8" max="8" width="6.88671875" style="169" bestFit="1" customWidth="1"/>
    <col min="9" max="9" width="8.88671875" style="169" bestFit="1" customWidth="1"/>
    <col min="10" max="10" width="6.88671875" style="169" bestFit="1" customWidth="1"/>
    <col min="11" max="11" width="7.33203125" style="172" bestFit="1" customWidth="1"/>
    <col min="12" max="12" width="6.88671875" style="172" bestFit="1" customWidth="1"/>
    <col min="13" max="13" width="6.88671875" style="169" bestFit="1" customWidth="1"/>
    <col min="14" max="14" width="7.88671875" style="169" bestFit="1" customWidth="1"/>
    <col min="15" max="15" width="6.88671875" style="169" bestFit="1" customWidth="1"/>
    <col min="16" max="16" width="11.21875" style="174" bestFit="1" customWidth="1"/>
    <col min="17" max="17" width="3.33203125" style="174" bestFit="1" customWidth="1"/>
    <col min="18" max="18" width="5.44140625" style="174" bestFit="1" customWidth="1"/>
    <col min="19" max="19" width="2.21875" style="147" customWidth="1"/>
    <col min="20" max="16384" width="8.88671875" style="148"/>
  </cols>
  <sheetData>
    <row r="1" spans="1:19" ht="30" customHeight="1">
      <c r="A1" s="202" t="s">
        <v>208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146"/>
      <c r="R1" s="146"/>
    </row>
    <row r="2" spans="1:19" s="153" customFormat="1" ht="12" customHeight="1">
      <c r="A2" s="149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50"/>
      <c r="O2" s="149"/>
      <c r="P2" s="151"/>
      <c r="Q2" s="149"/>
      <c r="R2" s="149"/>
      <c r="S2" s="152"/>
    </row>
    <row r="3" spans="1:19" s="153" customFormat="1" ht="29.25">
      <c r="A3" s="154" t="s">
        <v>210</v>
      </c>
      <c r="B3" s="154" t="s">
        <v>211</v>
      </c>
      <c r="C3" s="154" t="s">
        <v>212</v>
      </c>
      <c r="D3" s="203" t="s">
        <v>213</v>
      </c>
      <c r="E3" s="204"/>
      <c r="F3" s="205"/>
      <c r="G3" s="155" t="s">
        <v>236</v>
      </c>
      <c r="H3" s="156" t="s">
        <v>214</v>
      </c>
      <c r="I3" s="156" t="s">
        <v>215</v>
      </c>
      <c r="J3" s="156" t="s">
        <v>216</v>
      </c>
      <c r="K3" s="156" t="s">
        <v>148</v>
      </c>
      <c r="L3" s="156" t="s">
        <v>217</v>
      </c>
      <c r="M3" s="157" t="s">
        <v>218</v>
      </c>
      <c r="N3" s="158" t="s">
        <v>219</v>
      </c>
      <c r="O3" s="159" t="s">
        <v>220</v>
      </c>
      <c r="P3" s="156" t="s">
        <v>221</v>
      </c>
      <c r="Q3" s="160" t="s">
        <v>222</v>
      </c>
      <c r="R3" s="160"/>
      <c r="S3" s="152"/>
    </row>
    <row r="4" spans="1:19" s="166" customFormat="1" ht="24.95" customHeight="1">
      <c r="A4" s="161" t="s">
        <v>239</v>
      </c>
      <c r="B4" s="162" t="s">
        <v>241</v>
      </c>
      <c r="C4" s="162" t="s">
        <v>241</v>
      </c>
      <c r="D4" s="184">
        <f t="shared" ref="D4" si="0">ROUNDDOWN(I4/40,0)</f>
        <v>18</v>
      </c>
      <c r="E4" s="163" t="s">
        <v>33</v>
      </c>
      <c r="F4" s="183">
        <f>ROUND(I4-D4*40,3)</f>
        <v>22.78</v>
      </c>
      <c r="G4" s="193" t="str">
        <f t="shared" ref="G4:G7" si="1">_xlfn.CONCAT(D4,E4,F4)</f>
        <v>18+22.78</v>
      </c>
      <c r="H4" s="192">
        <f>ROUND(H11,2)</f>
        <v>742.78</v>
      </c>
      <c r="I4" s="194">
        <f>H4</f>
        <v>742.78</v>
      </c>
      <c r="J4" s="195" t="s">
        <v>223</v>
      </c>
      <c r="K4" s="195">
        <v>1000</v>
      </c>
      <c r="L4" s="195">
        <v>1987</v>
      </c>
      <c r="M4" s="196">
        <v>4</v>
      </c>
      <c r="N4" s="186"/>
      <c r="O4" s="164" t="s">
        <v>238</v>
      </c>
      <c r="P4" s="165"/>
      <c r="R4" s="167"/>
      <c r="S4" s="168"/>
    </row>
    <row r="5" spans="1:19" s="166" customFormat="1" ht="24.95" customHeight="1">
      <c r="A5" s="161" t="s">
        <v>239</v>
      </c>
      <c r="B5" s="162" t="s">
        <v>241</v>
      </c>
      <c r="C5" s="162" t="s">
        <v>240</v>
      </c>
      <c r="D5" s="184">
        <f>ROUNDDOWN(I5/40,0)</f>
        <v>21</v>
      </c>
      <c r="E5" s="163" t="s">
        <v>33</v>
      </c>
      <c r="F5" s="183">
        <f t="shared" ref="F5:F7" si="2">ROUND(I5-D5*40,3)</f>
        <v>21.93</v>
      </c>
      <c r="G5" s="193" t="str">
        <f t="shared" si="1"/>
        <v>21+21.93</v>
      </c>
      <c r="H5" s="192">
        <f>ROUND(H12,2)</f>
        <v>119.15</v>
      </c>
      <c r="I5" s="194">
        <f t="shared" ref="I5:I7" si="3">+I4+H5</f>
        <v>861.93</v>
      </c>
      <c r="J5" s="195" t="s">
        <v>223</v>
      </c>
      <c r="K5" s="195">
        <v>1000</v>
      </c>
      <c r="L5" s="195">
        <v>1987</v>
      </c>
      <c r="M5" s="196">
        <v>2.6</v>
      </c>
      <c r="N5" s="186"/>
      <c r="O5" s="164" t="s">
        <v>224</v>
      </c>
      <c r="P5" s="188"/>
      <c r="R5" s="167"/>
      <c r="S5" s="168"/>
    </row>
    <row r="6" spans="1:19" s="166" customFormat="1" ht="24.95" customHeight="1">
      <c r="A6" s="161" t="s">
        <v>239</v>
      </c>
      <c r="B6" s="162" t="s">
        <v>241</v>
      </c>
      <c r="C6" s="162" t="s">
        <v>242</v>
      </c>
      <c r="D6" s="184">
        <f t="shared" ref="D6:D7" si="4">ROUNDDOWN(I6/40,0)</f>
        <v>25</v>
      </c>
      <c r="E6" s="163" t="s">
        <v>33</v>
      </c>
      <c r="F6" s="183">
        <f t="shared" si="2"/>
        <v>30.81</v>
      </c>
      <c r="G6" s="193" t="str">
        <f t="shared" si="1"/>
        <v>25+30.81</v>
      </c>
      <c r="H6" s="192">
        <f>ROUND(H13,2)</f>
        <v>168.88</v>
      </c>
      <c r="I6" s="194">
        <f t="shared" si="3"/>
        <v>1030.81</v>
      </c>
      <c r="J6" s="195" t="s">
        <v>223</v>
      </c>
      <c r="K6" s="195">
        <v>1000</v>
      </c>
      <c r="L6" s="195">
        <v>1987</v>
      </c>
      <c r="M6" s="196">
        <v>2.2999999500000001</v>
      </c>
      <c r="N6" s="186"/>
      <c r="O6" s="164" t="s">
        <v>224</v>
      </c>
      <c r="P6" s="188"/>
      <c r="R6" s="167"/>
      <c r="S6" s="168"/>
    </row>
    <row r="7" spans="1:19" s="166" customFormat="1" ht="24.95" customHeight="1">
      <c r="A7" s="161" t="s">
        <v>239</v>
      </c>
      <c r="B7" s="162" t="s">
        <v>241</v>
      </c>
      <c r="C7" s="162" t="s">
        <v>243</v>
      </c>
      <c r="D7" s="184">
        <f t="shared" si="4"/>
        <v>33</v>
      </c>
      <c r="E7" s="163" t="s">
        <v>33</v>
      </c>
      <c r="F7" s="183">
        <f t="shared" si="2"/>
        <v>6.86</v>
      </c>
      <c r="G7" s="193" t="str">
        <f t="shared" si="1"/>
        <v>33+6.86</v>
      </c>
      <c r="H7" s="192">
        <f>ROUND(H14,2)</f>
        <v>296.05</v>
      </c>
      <c r="I7" s="194">
        <f t="shared" si="3"/>
        <v>1326.86</v>
      </c>
      <c r="J7" s="195" t="s">
        <v>223</v>
      </c>
      <c r="K7" s="195">
        <v>1000</v>
      </c>
      <c r="L7" s="195">
        <v>1987</v>
      </c>
      <c r="M7" s="196">
        <v>1.7000000500000001</v>
      </c>
      <c r="N7" s="186"/>
      <c r="O7" s="164" t="s">
        <v>224</v>
      </c>
      <c r="P7" s="188"/>
      <c r="R7" s="167"/>
      <c r="S7" s="168"/>
    </row>
    <row r="9" spans="1:19">
      <c r="M9" s="173"/>
    </row>
    <row r="10" spans="1:19">
      <c r="H10" s="185">
        <v>176.139255064</v>
      </c>
      <c r="M10" s="173"/>
    </row>
    <row r="11" spans="1:19">
      <c r="H11" s="187">
        <v>742.78217371400001</v>
      </c>
    </row>
    <row r="12" spans="1:19">
      <c r="H12" s="187">
        <v>119.14974953799999</v>
      </c>
    </row>
    <row r="13" spans="1:19">
      <c r="H13" s="187">
        <v>168.87706861699999</v>
      </c>
    </row>
    <row r="14" spans="1:19">
      <c r="H14" s="187">
        <v>296.05340998700001</v>
      </c>
    </row>
    <row r="15" spans="1:19">
      <c r="H15" s="187">
        <v>242.16450544599999</v>
      </c>
    </row>
    <row r="20" spans="12:12">
      <c r="L20" s="172">
        <f>7.1*9.8</f>
        <v>69.58</v>
      </c>
    </row>
  </sheetData>
  <autoFilter ref="A3:P7" xr:uid="{00000000-0009-0000-0000-000000000000}">
    <filterColumn colId="3" showButton="0"/>
    <filterColumn colId="4" showButton="0"/>
  </autoFilter>
  <mergeCells count="2">
    <mergeCell ref="A1:P1"/>
    <mergeCell ref="D3:F3"/>
  </mergeCells>
  <phoneticPr fontId="5" type="noConversion"/>
  <printOptions horizontalCentered="1"/>
  <pageMargins left="0.78740157480314965" right="0.59055118110236227" top="0.59055118110236227" bottom="0.59055118110236227" header="0.39370078740157483" footer="0.3937007874015748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1CDE-A1F2-4616-AABA-409F53711C5A}">
  <sheetPr>
    <pageSetUpPr fitToPage="1"/>
  </sheetPr>
  <dimension ref="A1:Z8"/>
  <sheetViews>
    <sheetView view="pageBreakPreview" zoomScaleNormal="55" zoomScaleSheetLayoutView="100" workbookViewId="0">
      <selection activeCell="H7" sqref="H7"/>
    </sheetView>
  </sheetViews>
  <sheetFormatPr defaultRowHeight="13.5"/>
  <cols>
    <col min="1" max="1" width="2.21875" style="9" customWidth="1"/>
    <col min="2" max="2" width="8.88671875" style="9" customWidth="1"/>
    <col min="3" max="3" width="7.88671875" style="9" customWidth="1"/>
    <col min="4" max="4" width="5.33203125" style="9" bestFit="1" customWidth="1"/>
    <col min="5" max="5" width="5.33203125" style="9" customWidth="1"/>
    <col min="6" max="6" width="7.109375" style="9" bestFit="1" customWidth="1"/>
    <col min="7" max="7" width="5" style="9" bestFit="1" customWidth="1"/>
    <col min="8" max="9" width="6.6640625" style="9" bestFit="1" customWidth="1"/>
    <col min="10" max="10" width="10.33203125" style="9" bestFit="1" customWidth="1"/>
    <col min="11" max="11" width="12.21875" style="9" bestFit="1" customWidth="1"/>
    <col min="12" max="12" width="6.6640625" style="9" bestFit="1" customWidth="1"/>
    <col min="13" max="13" width="5" style="9" bestFit="1" customWidth="1"/>
    <col min="14" max="14" width="10.6640625" style="9" bestFit="1" customWidth="1"/>
    <col min="15" max="15" width="8.88671875" style="9"/>
    <col min="16" max="16" width="4.77734375" style="9" bestFit="1" customWidth="1"/>
    <col min="17" max="17" width="11.5546875" style="9" bestFit="1" customWidth="1"/>
    <col min="18" max="18" width="8.88671875" style="9"/>
    <col min="19" max="19" width="5.88671875" style="9" bestFit="1" customWidth="1"/>
    <col min="20" max="20" width="10" style="9" bestFit="1" customWidth="1"/>
    <col min="21" max="21" width="5.5546875" style="9" bestFit="1" customWidth="1"/>
    <col min="22" max="22" width="5.88671875" style="9" bestFit="1" customWidth="1"/>
    <col min="23" max="23" width="11.109375" style="9" bestFit="1" customWidth="1"/>
    <col min="24" max="24" width="7.33203125" style="9" bestFit="1" customWidth="1"/>
    <col min="25" max="25" width="5.88671875" style="9" bestFit="1" customWidth="1"/>
    <col min="26" max="26" width="7.33203125" style="9" bestFit="1" customWidth="1"/>
    <col min="27" max="16384" width="8.88671875" style="9"/>
  </cols>
  <sheetData>
    <row r="1" spans="1:26" ht="17.25">
      <c r="A1" s="121"/>
      <c r="B1" s="121"/>
      <c r="C1" s="121"/>
      <c r="D1" s="208" t="s">
        <v>194</v>
      </c>
      <c r="E1" s="208"/>
      <c r="F1" s="208"/>
      <c r="G1" s="208"/>
      <c r="H1" s="208"/>
      <c r="I1" s="208"/>
      <c r="J1" s="208"/>
      <c r="K1" s="208"/>
      <c r="L1" s="208"/>
      <c r="M1" s="208"/>
      <c r="N1" s="122"/>
      <c r="P1" s="5"/>
    </row>
    <row r="2" spans="1:26">
      <c r="A2" s="121"/>
      <c r="B2" s="121"/>
      <c r="C2" s="121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133" t="s">
        <v>203</v>
      </c>
      <c r="P2" s="5"/>
    </row>
    <row r="3" spans="1:26" ht="23.25" thickBot="1">
      <c r="A3" s="123"/>
      <c r="B3" s="123"/>
      <c r="C3" s="123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134">
        <f>82+20.4</f>
        <v>102.4</v>
      </c>
      <c r="P3" s="207" t="s">
        <v>39</v>
      </c>
      <c r="Q3" s="207"/>
      <c r="S3" s="206" t="s">
        <v>185</v>
      </c>
      <c r="T3" s="119" t="s">
        <v>186</v>
      </c>
      <c r="U3" s="119" t="s">
        <v>188</v>
      </c>
      <c r="V3" s="119" t="s">
        <v>190</v>
      </c>
      <c r="W3" s="119" t="s">
        <v>192</v>
      </c>
      <c r="X3" s="119" t="s">
        <v>193</v>
      </c>
      <c r="Y3" s="206" t="s">
        <v>184</v>
      </c>
      <c r="Z3" s="206" t="s">
        <v>38</v>
      </c>
    </row>
    <row r="4" spans="1:26" ht="33.75" customHeight="1" thickBot="1">
      <c r="A4" s="176"/>
      <c r="B4" s="176"/>
      <c r="C4" s="191" t="s">
        <v>237</v>
      </c>
      <c r="D4" s="124" t="s">
        <v>211</v>
      </c>
      <c r="E4" s="124" t="s">
        <v>212</v>
      </c>
      <c r="F4" s="125" t="s">
        <v>195</v>
      </c>
      <c r="G4" s="124" t="s">
        <v>196</v>
      </c>
      <c r="H4" s="124" t="s">
        <v>197</v>
      </c>
      <c r="I4" s="124" t="s">
        <v>198</v>
      </c>
      <c r="J4" s="124" t="s">
        <v>199</v>
      </c>
      <c r="K4" s="124" t="s">
        <v>200</v>
      </c>
      <c r="L4" s="124" t="s">
        <v>201</v>
      </c>
      <c r="M4" s="124" t="s">
        <v>202</v>
      </c>
      <c r="N4" s="135"/>
      <c r="P4" s="2" t="s">
        <v>40</v>
      </c>
      <c r="Q4" s="2" t="s">
        <v>41</v>
      </c>
      <c r="S4" s="206"/>
      <c r="T4" s="120" t="s">
        <v>187</v>
      </c>
      <c r="U4" s="120" t="s">
        <v>189</v>
      </c>
      <c r="V4" s="120" t="s">
        <v>191</v>
      </c>
      <c r="W4" s="120" t="s">
        <v>191</v>
      </c>
      <c r="X4" s="120" t="s">
        <v>191</v>
      </c>
      <c r="Y4" s="206"/>
      <c r="Z4" s="206"/>
    </row>
    <row r="5" spans="1:26" ht="16.5">
      <c r="A5" s="131">
        <f>'3. 최소 관두께 만족 여부'!A7</f>
        <v>2</v>
      </c>
      <c r="B5" s="131" t="e">
        <f>F5&amp;#REF!&amp;#REF!</f>
        <v>#REF!</v>
      </c>
      <c r="C5" s="131" t="str">
        <f>관로매설현황표!A4</f>
        <v>하안 송수</v>
      </c>
      <c r="D5" s="131" t="str">
        <f>관로매설현황표!B4</f>
        <v>01</v>
      </c>
      <c r="E5" s="131" t="str">
        <f>관로매설현황표!C4</f>
        <v>01</v>
      </c>
      <c r="F5" s="132" t="str">
        <f>관로매설현황표!G4</f>
        <v>18+22.78</v>
      </c>
      <c r="G5" s="126">
        <f>관로매설현황표!K4</f>
        <v>1000</v>
      </c>
      <c r="H5" s="127">
        <v>8</v>
      </c>
      <c r="I5" s="128">
        <v>0.7</v>
      </c>
      <c r="J5" s="179">
        <f t="shared" ref="J5:J8" si="0">(I5*G5)/(2*H5)</f>
        <v>43.75</v>
      </c>
      <c r="K5" s="129">
        <v>140</v>
      </c>
      <c r="L5" s="177">
        <f t="shared" ref="L5:L8" si="1">K5/J5</f>
        <v>3.2</v>
      </c>
      <c r="M5" s="178" t="str">
        <f t="shared" ref="M5:M8" si="2">IF(K5&gt;J5,"OK","NG")</f>
        <v>OK</v>
      </c>
      <c r="N5" s="130"/>
      <c r="S5" s="8" t="str">
        <f t="shared" ref="S5:S8" si="3">_xlfn.CONCAT(D5,"(",E5,")")</f>
        <v>01(01)</v>
      </c>
      <c r="T5" s="8" t="str">
        <f t="shared" ref="T5:T8" si="4">_xlfn.CONCAT(F5:F5)</f>
        <v>18+22.78</v>
      </c>
      <c r="U5" s="8">
        <f t="shared" ref="U5:U8" si="5">G5</f>
        <v>1000</v>
      </c>
      <c r="V5" s="4">
        <f t="shared" ref="V5:V8" si="6">I5</f>
        <v>0.7</v>
      </c>
      <c r="W5" s="4">
        <f t="shared" ref="W5:W8" si="7">J5</f>
        <v>43.75</v>
      </c>
      <c r="X5" s="49">
        <v>140</v>
      </c>
      <c r="Y5" s="4">
        <f t="shared" ref="Y5:Y8" si="8">L5</f>
        <v>3.2</v>
      </c>
      <c r="Z5" s="8" t="str">
        <f t="shared" ref="Z5:Z8" si="9">M5</f>
        <v>OK</v>
      </c>
    </row>
    <row r="6" spans="1:26" ht="16.5">
      <c r="A6" s="131">
        <f>'3. 최소 관두께 만족 여부'!A8</f>
        <v>3</v>
      </c>
      <c r="B6" s="131" t="e">
        <f>F6&amp;#REF!&amp;#REF!</f>
        <v>#REF!</v>
      </c>
      <c r="C6" s="131" t="str">
        <f>관로매설현황표!A5</f>
        <v>하안 송수</v>
      </c>
      <c r="D6" s="131" t="str">
        <f>관로매설현황표!B5</f>
        <v>01</v>
      </c>
      <c r="E6" s="131" t="str">
        <f>관로매설현황표!C5</f>
        <v>02</v>
      </c>
      <c r="F6" s="132" t="str">
        <f>관로매설현황표!G5</f>
        <v>21+21.93</v>
      </c>
      <c r="G6" s="126">
        <f>관로매설현황표!K5</f>
        <v>1000</v>
      </c>
      <c r="H6" s="127">
        <v>8</v>
      </c>
      <c r="I6" s="128">
        <v>0.7</v>
      </c>
      <c r="J6" s="179">
        <f t="shared" si="0"/>
        <v>43.75</v>
      </c>
      <c r="K6" s="129">
        <v>140</v>
      </c>
      <c r="L6" s="177">
        <f t="shared" si="1"/>
        <v>3.2</v>
      </c>
      <c r="M6" s="178" t="str">
        <f t="shared" si="2"/>
        <v>OK</v>
      </c>
      <c r="N6" s="130"/>
      <c r="S6" s="8" t="str">
        <f t="shared" si="3"/>
        <v>01(02)</v>
      </c>
      <c r="T6" s="8" t="str">
        <f t="shared" si="4"/>
        <v>21+21.93</v>
      </c>
      <c r="U6" s="8">
        <f t="shared" si="5"/>
        <v>1000</v>
      </c>
      <c r="V6" s="4">
        <f t="shared" si="6"/>
        <v>0.7</v>
      </c>
      <c r="W6" s="4">
        <f t="shared" si="7"/>
        <v>43.75</v>
      </c>
      <c r="X6" s="49">
        <v>140</v>
      </c>
      <c r="Y6" s="4">
        <f t="shared" si="8"/>
        <v>3.2</v>
      </c>
      <c r="Z6" s="8" t="str">
        <f t="shared" si="9"/>
        <v>OK</v>
      </c>
    </row>
    <row r="7" spans="1:26" ht="16.5">
      <c r="A7" s="131">
        <f>'3. 최소 관두께 만족 여부'!A9</f>
        <v>4</v>
      </c>
      <c r="B7" s="131" t="e">
        <f>F7&amp;#REF!&amp;#REF!</f>
        <v>#REF!</v>
      </c>
      <c r="C7" s="131" t="str">
        <f>관로매설현황표!A6</f>
        <v>하안 송수</v>
      </c>
      <c r="D7" s="131" t="str">
        <f>관로매설현황표!B6</f>
        <v>01</v>
      </c>
      <c r="E7" s="131" t="str">
        <f>관로매설현황표!C6</f>
        <v>03</v>
      </c>
      <c r="F7" s="132" t="str">
        <f>관로매설현황표!G6</f>
        <v>25+30.81</v>
      </c>
      <c r="G7" s="126">
        <f>관로매설현황표!K6</f>
        <v>1000</v>
      </c>
      <c r="H7" s="127">
        <v>8</v>
      </c>
      <c r="I7" s="128">
        <v>0.7</v>
      </c>
      <c r="J7" s="179">
        <f t="shared" si="0"/>
        <v>43.75</v>
      </c>
      <c r="K7" s="129">
        <v>140</v>
      </c>
      <c r="L7" s="177">
        <f t="shared" si="1"/>
        <v>3.2</v>
      </c>
      <c r="M7" s="178" t="str">
        <f t="shared" si="2"/>
        <v>OK</v>
      </c>
      <c r="N7" s="130"/>
      <c r="S7" s="8" t="str">
        <f t="shared" si="3"/>
        <v>01(03)</v>
      </c>
      <c r="T7" s="8" t="str">
        <f t="shared" si="4"/>
        <v>25+30.81</v>
      </c>
      <c r="U7" s="8">
        <f t="shared" si="5"/>
        <v>1000</v>
      </c>
      <c r="V7" s="4">
        <f t="shared" si="6"/>
        <v>0.7</v>
      </c>
      <c r="W7" s="4">
        <f t="shared" si="7"/>
        <v>43.75</v>
      </c>
      <c r="X7" s="49">
        <v>140</v>
      </c>
      <c r="Y7" s="4">
        <f t="shared" si="8"/>
        <v>3.2</v>
      </c>
      <c r="Z7" s="8" t="str">
        <f t="shared" si="9"/>
        <v>OK</v>
      </c>
    </row>
    <row r="8" spans="1:26" ht="16.5">
      <c r="A8" s="131">
        <f>'3. 최소 관두께 만족 여부'!A10</f>
        <v>5</v>
      </c>
      <c r="B8" s="131" t="e">
        <f>F8&amp;#REF!&amp;#REF!</f>
        <v>#REF!</v>
      </c>
      <c r="C8" s="131" t="str">
        <f>관로매설현황표!A7</f>
        <v>하안 송수</v>
      </c>
      <c r="D8" s="131" t="str">
        <f>관로매설현황표!B7</f>
        <v>01</v>
      </c>
      <c r="E8" s="131" t="str">
        <f>관로매설현황표!C7</f>
        <v>04</v>
      </c>
      <c r="F8" s="132" t="str">
        <f>관로매설현황표!G7</f>
        <v>33+6.86</v>
      </c>
      <c r="G8" s="126">
        <f>관로매설현황표!K7</f>
        <v>1000</v>
      </c>
      <c r="H8" s="127">
        <v>8</v>
      </c>
      <c r="I8" s="128">
        <v>0.7</v>
      </c>
      <c r="J8" s="179">
        <f t="shared" si="0"/>
        <v>43.75</v>
      </c>
      <c r="K8" s="129">
        <v>140</v>
      </c>
      <c r="L8" s="177">
        <f t="shared" si="1"/>
        <v>3.2</v>
      </c>
      <c r="M8" s="178" t="str">
        <f t="shared" si="2"/>
        <v>OK</v>
      </c>
      <c r="N8" s="130"/>
      <c r="S8" s="8" t="str">
        <f t="shared" si="3"/>
        <v>01(04)</v>
      </c>
      <c r="T8" s="8" t="str">
        <f t="shared" si="4"/>
        <v>33+6.86</v>
      </c>
      <c r="U8" s="8">
        <f t="shared" si="5"/>
        <v>1000</v>
      </c>
      <c r="V8" s="4">
        <f t="shared" si="6"/>
        <v>0.7</v>
      </c>
      <c r="W8" s="4">
        <f t="shared" si="7"/>
        <v>43.75</v>
      </c>
      <c r="X8" s="49">
        <v>140</v>
      </c>
      <c r="Y8" s="4">
        <f t="shared" si="8"/>
        <v>3.2</v>
      </c>
      <c r="Z8" s="8" t="str">
        <f t="shared" si="9"/>
        <v>OK</v>
      </c>
    </row>
  </sheetData>
  <mergeCells count="5">
    <mergeCell ref="Y3:Y4"/>
    <mergeCell ref="Z3:Z4"/>
    <mergeCell ref="P3:Q3"/>
    <mergeCell ref="D1:M3"/>
    <mergeCell ref="S3:S4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0118-654E-46CA-97D9-4746E1F8410C}">
  <dimension ref="A1:AJ17"/>
  <sheetViews>
    <sheetView view="pageBreakPreview" zoomScale="85" zoomScaleNormal="55" zoomScaleSheetLayoutView="85" workbookViewId="0">
      <selection activeCell="L36" sqref="L36"/>
    </sheetView>
  </sheetViews>
  <sheetFormatPr defaultRowHeight="13.5"/>
  <cols>
    <col min="1" max="1" width="21" style="9" bestFit="1" customWidth="1"/>
    <col min="2" max="2" width="8.21875" style="9" bestFit="1" customWidth="1"/>
    <col min="3" max="4" width="4.6640625" style="9" bestFit="1" customWidth="1"/>
    <col min="5" max="5" width="8.44140625" style="9" bestFit="1" customWidth="1"/>
    <col min="6" max="6" width="5.77734375" style="9" bestFit="1" customWidth="1"/>
    <col min="7" max="8" width="6.88671875" style="9" bestFit="1" customWidth="1"/>
    <col min="9" max="9" width="8.6640625" style="9" bestFit="1" customWidth="1"/>
    <col min="10" max="10" width="6.88671875" style="9" bestFit="1" customWidth="1"/>
    <col min="11" max="11" width="5.44140625" style="9" bestFit="1" customWidth="1"/>
    <col min="12" max="13" width="10.44140625" style="9" bestFit="1" customWidth="1"/>
    <col min="14" max="14" width="8.44140625" style="9" bestFit="1" customWidth="1"/>
    <col min="15" max="15" width="3.6640625" style="9" hidden="1" customWidth="1"/>
    <col min="16" max="16" width="5.109375" style="9" bestFit="1" customWidth="1"/>
    <col min="17" max="18" width="8.6640625" style="9" bestFit="1" customWidth="1"/>
    <col min="19" max="19" width="3.44140625" style="9" hidden="1" customWidth="1"/>
    <col min="20" max="20" width="7.5546875" style="9" bestFit="1" customWidth="1"/>
    <col min="21" max="21" width="6.88671875" style="9" bestFit="1" customWidth="1"/>
    <col min="22" max="22" width="5.109375" style="9" bestFit="1" customWidth="1"/>
    <col min="23" max="23" width="8.21875" style="9" bestFit="1" customWidth="1"/>
    <col min="24" max="25" width="6.88671875" style="9" bestFit="1" customWidth="1"/>
    <col min="26" max="26" width="5.109375" style="9" bestFit="1" customWidth="1"/>
    <col min="27" max="27" width="8.88671875" style="9"/>
    <col min="28" max="28" width="13.21875" style="9" bestFit="1" customWidth="1"/>
    <col min="29" max="29" width="9" style="9" bestFit="1" customWidth="1"/>
    <col min="30" max="31" width="8.88671875" style="9"/>
    <col min="32" max="33" width="8.21875" style="9" bestFit="1" customWidth="1"/>
    <col min="34" max="34" width="11.77734375" style="9" bestFit="1" customWidth="1"/>
    <col min="35" max="35" width="11" style="9" customWidth="1"/>
    <col min="36" max="16384" width="8.88671875" style="9"/>
  </cols>
  <sheetData>
    <row r="1" spans="1:36" ht="14.25" thickBot="1">
      <c r="I1" s="225" t="s">
        <v>205</v>
      </c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7"/>
    </row>
    <row r="2" spans="1:36" ht="13.5" customHeight="1">
      <c r="I2" s="229" t="s">
        <v>44</v>
      </c>
      <c r="J2" s="21" t="s">
        <v>48</v>
      </c>
      <c r="K2" s="136">
        <v>30</v>
      </c>
      <c r="P2" s="232" t="s">
        <v>58</v>
      </c>
      <c r="Q2" s="21" t="s">
        <v>51</v>
      </c>
      <c r="R2" s="21">
        <v>9600</v>
      </c>
      <c r="T2" s="232" t="s">
        <v>60</v>
      </c>
      <c r="U2" s="137" t="s">
        <v>61</v>
      </c>
      <c r="V2" s="21">
        <v>1.5</v>
      </c>
      <c r="W2" s="138"/>
      <c r="AB2" s="215" t="s">
        <v>98</v>
      </c>
      <c r="AC2" s="214" t="s">
        <v>96</v>
      </c>
      <c r="AD2" s="214" t="s">
        <v>94</v>
      </c>
      <c r="AE2" s="214"/>
      <c r="AG2" s="210" t="s">
        <v>60</v>
      </c>
      <c r="AH2" s="8" t="s">
        <v>103</v>
      </c>
      <c r="AI2" s="8">
        <f>1</f>
        <v>1</v>
      </c>
    </row>
    <row r="3" spans="1:36">
      <c r="I3" s="230"/>
      <c r="J3" s="8" t="s">
        <v>47</v>
      </c>
      <c r="K3" s="22">
        <f>(1-SIN(RADIANS(30)))/(1+SIN(RADIANS(30)))</f>
        <v>0.33333333333333331</v>
      </c>
      <c r="P3" s="233"/>
      <c r="Q3" s="8" t="s">
        <v>54</v>
      </c>
      <c r="R3" s="51">
        <v>175</v>
      </c>
      <c r="T3" s="210"/>
      <c r="U3" s="60" t="s">
        <v>62</v>
      </c>
      <c r="V3" s="50">
        <v>2100000</v>
      </c>
      <c r="W3" s="138"/>
      <c r="AB3" s="216"/>
      <c r="AC3" s="214"/>
      <c r="AD3" s="214" t="s">
        <v>95</v>
      </c>
      <c r="AE3" s="214"/>
      <c r="AG3" s="210"/>
      <c r="AH3" s="8" t="s">
        <v>63</v>
      </c>
      <c r="AI3" s="50">
        <f>V4</f>
        <v>70</v>
      </c>
    </row>
    <row r="4" spans="1:36" ht="40.5">
      <c r="I4" s="230"/>
      <c r="J4" s="3" t="s">
        <v>206</v>
      </c>
      <c r="K4" s="22">
        <f>TAN(RADIANS(30))</f>
        <v>0.57735026918962573</v>
      </c>
      <c r="P4" s="233"/>
      <c r="Q4" s="8" t="s">
        <v>53</v>
      </c>
      <c r="R4" s="8">
        <v>45</v>
      </c>
      <c r="T4" s="210"/>
      <c r="U4" s="142" t="s">
        <v>207</v>
      </c>
      <c r="V4" s="50">
        <v>70</v>
      </c>
      <c r="W4" s="138"/>
      <c r="AG4" s="210"/>
    </row>
    <row r="5" spans="1:36">
      <c r="I5" s="230"/>
      <c r="P5" s="233"/>
      <c r="Q5" s="8" t="s">
        <v>55</v>
      </c>
      <c r="R5" s="51">
        <v>100</v>
      </c>
      <c r="T5" s="210"/>
      <c r="U5" s="60" t="s">
        <v>89</v>
      </c>
      <c r="V5" s="8">
        <v>0.157</v>
      </c>
      <c r="W5" s="213" t="s">
        <v>91</v>
      </c>
      <c r="AB5" s="6" t="s">
        <v>99</v>
      </c>
      <c r="AC5" s="217" t="s">
        <v>100</v>
      </c>
      <c r="AD5" s="218"/>
      <c r="AG5" s="210"/>
    </row>
    <row r="6" spans="1:36">
      <c r="I6" s="230"/>
      <c r="P6" s="233"/>
      <c r="Q6" s="8" t="s">
        <v>56</v>
      </c>
      <c r="R6" s="51">
        <v>20</v>
      </c>
      <c r="T6" s="210"/>
      <c r="U6" s="60" t="s">
        <v>90</v>
      </c>
      <c r="V6" s="8">
        <v>9.6000000000000002E-2</v>
      </c>
      <c r="W6" s="213"/>
      <c r="AG6" s="210"/>
    </row>
    <row r="7" spans="1:36" ht="14.25" thickBot="1">
      <c r="I7" s="231"/>
      <c r="J7" s="139"/>
      <c r="K7" s="139"/>
      <c r="L7" s="139"/>
      <c r="M7" s="139"/>
      <c r="N7" s="139"/>
      <c r="O7" s="139"/>
      <c r="P7" s="234"/>
      <c r="Q7" s="69" t="s">
        <v>57</v>
      </c>
      <c r="R7" s="140">
        <v>50</v>
      </c>
      <c r="S7" s="139"/>
      <c r="T7" s="235"/>
      <c r="U7" s="139"/>
      <c r="V7" s="139"/>
      <c r="W7" s="141"/>
      <c r="AG7" s="210"/>
    </row>
    <row r="8" spans="1:36">
      <c r="B8" s="92"/>
      <c r="C8" s="92"/>
      <c r="D8" s="92"/>
      <c r="E8" s="92"/>
      <c r="F8" s="92"/>
      <c r="G8" s="92"/>
      <c r="H8" s="92"/>
      <c r="T8" s="52"/>
    </row>
    <row r="9" spans="1:36">
      <c r="B9" s="219" t="s">
        <v>168</v>
      </c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1"/>
    </row>
    <row r="10" spans="1:36">
      <c r="B10" s="222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4"/>
    </row>
    <row r="11" spans="1:36" ht="20.100000000000001" customHeight="1">
      <c r="B11" s="209" t="s">
        <v>204</v>
      </c>
      <c r="C11" s="209"/>
      <c r="D11" s="209"/>
      <c r="E11" s="209"/>
      <c r="F11" s="209"/>
      <c r="G11" s="209"/>
      <c r="H11" s="209"/>
      <c r="I11" s="228" t="s">
        <v>205</v>
      </c>
      <c r="J11" s="228"/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 t="s">
        <v>59</v>
      </c>
      <c r="X11" s="228"/>
      <c r="Y11" s="228"/>
      <c r="Z11" s="228"/>
    </row>
    <row r="12" spans="1:36" ht="20.100000000000001" customHeight="1">
      <c r="B12" s="209"/>
      <c r="C12" s="209"/>
      <c r="D12" s="209"/>
      <c r="E12" s="209"/>
      <c r="F12" s="209"/>
      <c r="G12" s="209"/>
      <c r="H12" s="209"/>
      <c r="I12" s="228" t="s">
        <v>42</v>
      </c>
      <c r="J12" s="228"/>
      <c r="K12" s="228"/>
      <c r="L12" s="228"/>
      <c r="M12" s="228"/>
      <c r="N12" s="228"/>
      <c r="O12" s="8"/>
      <c r="P12" s="228" t="s">
        <v>50</v>
      </c>
      <c r="Q12" s="228"/>
      <c r="R12" s="228"/>
      <c r="S12" s="8"/>
      <c r="T12" s="228" t="s">
        <v>225</v>
      </c>
      <c r="U12" s="228" t="s">
        <v>231</v>
      </c>
      <c r="V12" s="228" t="s">
        <v>232</v>
      </c>
      <c r="W12" s="228"/>
      <c r="X12" s="228"/>
      <c r="Y12" s="228"/>
      <c r="Z12" s="228"/>
      <c r="AB12" s="6" t="s">
        <v>99</v>
      </c>
      <c r="AF12" s="211" t="s">
        <v>107</v>
      </c>
      <c r="AG12" s="212"/>
    </row>
    <row r="13" spans="1:36" ht="40.5">
      <c r="B13" s="175" t="s">
        <v>209</v>
      </c>
      <c r="C13" s="175" t="s">
        <v>211</v>
      </c>
      <c r="D13" s="175" t="s">
        <v>212</v>
      </c>
      <c r="E13" s="189" t="s">
        <v>146</v>
      </c>
      <c r="F13" s="144" t="s">
        <v>148</v>
      </c>
      <c r="G13" s="144" t="s">
        <v>147</v>
      </c>
      <c r="H13" s="144" t="s">
        <v>149</v>
      </c>
      <c r="I13" s="144" t="s">
        <v>229</v>
      </c>
      <c r="J13" s="144" t="s">
        <v>228</v>
      </c>
      <c r="K13" s="144" t="s">
        <v>46</v>
      </c>
      <c r="L13" s="144" t="s">
        <v>158</v>
      </c>
      <c r="M13" s="144" t="s">
        <v>159</v>
      </c>
      <c r="N13" s="144" t="s">
        <v>165</v>
      </c>
      <c r="O13" s="8"/>
      <c r="P13" s="144" t="s">
        <v>227</v>
      </c>
      <c r="Q13" s="144" t="s">
        <v>226</v>
      </c>
      <c r="R13" s="144" t="s">
        <v>230</v>
      </c>
      <c r="S13" s="8"/>
      <c r="T13" s="228"/>
      <c r="U13" s="228"/>
      <c r="V13" s="228"/>
      <c r="W13" s="144" t="s">
        <v>233</v>
      </c>
      <c r="X13" s="144" t="s">
        <v>234</v>
      </c>
      <c r="Y13" s="144" t="s">
        <v>184</v>
      </c>
      <c r="Z13" s="144" t="s">
        <v>162</v>
      </c>
      <c r="AB13" s="17" t="s">
        <v>108</v>
      </c>
      <c r="AC13" s="56" t="s">
        <v>101</v>
      </c>
      <c r="AD13" s="8" t="s">
        <v>93</v>
      </c>
      <c r="AF13" s="3" t="s">
        <v>102</v>
      </c>
      <c r="AG13" s="3" t="s">
        <v>104</v>
      </c>
      <c r="AH13" s="3" t="s">
        <v>105</v>
      </c>
      <c r="AI13" s="58" t="s">
        <v>106</v>
      </c>
      <c r="AJ13" s="8" t="s">
        <v>93</v>
      </c>
    </row>
    <row r="14" spans="1:36" ht="20.100000000000001" customHeight="1">
      <c r="A14" s="9" t="e">
        <f>E14&amp;#REF!&amp;#REF!</f>
        <v>#REF!</v>
      </c>
      <c r="B14" s="8" t="str">
        <f>'내압에 의한 원주방향 응력 검토'!C5</f>
        <v>하안 송수</v>
      </c>
      <c r="C14" s="8" t="str">
        <f>'내압에 의한 원주방향 응력 검토'!D5</f>
        <v>01</v>
      </c>
      <c r="D14" s="8" t="str">
        <f>'내압에 의한 원주방향 응력 검토'!E5</f>
        <v>01</v>
      </c>
      <c r="E14" s="63" t="str">
        <f>'내압에 의한 원주방향 응력 검토'!F5</f>
        <v>18+22.78</v>
      </c>
      <c r="F14" s="62">
        <f>관로매설현황표!K4</f>
        <v>1000</v>
      </c>
      <c r="G14" s="197">
        <v>8</v>
      </c>
      <c r="H14" s="63">
        <f>관로매설현황표!M4</f>
        <v>4</v>
      </c>
      <c r="I14" s="61">
        <v>1800</v>
      </c>
      <c r="J14" s="14">
        <f t="shared" ref="J14:J17" si="0">F14/10+40</f>
        <v>140</v>
      </c>
      <c r="K14" s="18">
        <f t="shared" ref="K14:K17" si="1">(1-EXP(-2*$K$3*$K$4*$H14/($J14/100)))/(2*$K$3*K$4)</f>
        <v>1.7330050829078707</v>
      </c>
      <c r="L14" s="19">
        <f t="shared" ref="L14:L17" si="2">H14*I14/100^2</f>
        <v>0.72</v>
      </c>
      <c r="M14" s="19">
        <f t="shared" ref="M14:M17" si="3">$K14*0.0018*J14</f>
        <v>0.43671728089278339</v>
      </c>
      <c r="N14" s="64">
        <f t="shared" ref="N14:N17" si="4">IF(H14&gt;2,M14,L14)</f>
        <v>0.43671728089278339</v>
      </c>
      <c r="O14" s="62"/>
      <c r="P14" s="62">
        <v>8</v>
      </c>
      <c r="Q14" s="64">
        <f t="shared" ref="Q14:Q17" si="5">IF(H14&gt;6.5,0.5,IF(H14&gt;1.5,0.65-0.1*H14,IF(H14&gt;=0,0.5)))</f>
        <v>0.25</v>
      </c>
      <c r="R14" s="64">
        <f t="shared" ref="R14:R17" si="6">(2*P14*$R$2*(1+Q14))/((P14*$R$3+(P14-1)*$R$5+$R$7+2*(H14*100)*TAN($R$4*PI()/180))*($R$6+2*(H14*100)*TAN($R$4*PI()/180)))</f>
        <v>7.9371641174038873E-2</v>
      </c>
      <c r="S14" s="62"/>
      <c r="T14" s="62">
        <f t="shared" ref="T14:T17" si="7">F14/2/10</f>
        <v>50</v>
      </c>
      <c r="U14" s="64">
        <f t="shared" ref="U14:U17" si="8">(G14/10)^3/12</f>
        <v>4.2666666666666679E-2</v>
      </c>
      <c r="V14" s="64">
        <f t="shared" ref="V14:V17" si="9">(G14/10)^2/6</f>
        <v>0.10666666666666669</v>
      </c>
      <c r="W14" s="63">
        <f t="shared" ref="W14:W17" si="10">(2/($V$2*V14))*(N14+R14)*($V$5*T14^2*$V$3*U14+(0.06146*$V$5-0.08303*$V$6)*$V$4*T14^5)/($V$3*U14+0.061*$V$4*T14^3)</f>
        <v>743.91077681517504</v>
      </c>
      <c r="X14" s="106">
        <f t="shared" ref="X14:X17" si="11">W14*0.098067</f>
        <v>72.953098149933766</v>
      </c>
      <c r="Y14" s="63">
        <f t="shared" ref="Y14:Y17" si="12">140/X14</f>
        <v>1.9190411860545105</v>
      </c>
      <c r="Z14" s="62" t="str">
        <f t="shared" ref="Z14:Z17" si="13">IF(X14&gt;140,"NG","OK")</f>
        <v>OK</v>
      </c>
      <c r="AB14" s="53">
        <f t="shared" ref="AB14:AB17" si="14">(2*$V$6*(N14+R14)*(T14^4))/($V$3*U14+0.06146*$V$4*T14^3)</f>
        <v>0.98713959988872158</v>
      </c>
      <c r="AC14" s="57">
        <f t="shared" ref="AC14:AC17" si="15">AB14/(F14/10)</f>
        <v>9.8713959988872158E-3</v>
      </c>
      <c r="AD14" s="56" t="str">
        <f t="shared" ref="AD14:AD17" si="16">IF(AC14&lt;0.05,"Ok","NG")</f>
        <v>Ok</v>
      </c>
      <c r="AF14" s="55">
        <f t="shared" ref="AF14:AF17" si="17">IF(H14&gt;(F14/1000),2.5,3)</f>
        <v>2.5</v>
      </c>
      <c r="AG14" s="22">
        <f t="shared" ref="AG14:AG17" si="18">0.15+0.041*(AF14)</f>
        <v>0.2525</v>
      </c>
      <c r="AH14" s="54">
        <f t="shared" ref="AH14:AH17" si="19">(1/AF14)*((32*$AI$2*AG14*$AI$3*$V$3*U14/(F14/10)^3)^0.5)</f>
        <v>2.8475325459070704</v>
      </c>
      <c r="AI14" s="54">
        <f t="shared" ref="AI14:AI17" si="20">N14+R14</f>
        <v>0.51608892206682222</v>
      </c>
      <c r="AJ14" s="56" t="str">
        <f t="shared" ref="AJ14:AJ17" si="21">IF(AH14&gt;AI14,"ok","NG")</f>
        <v>ok</v>
      </c>
    </row>
    <row r="15" spans="1:36" ht="20.100000000000001" customHeight="1">
      <c r="A15" s="9" t="e">
        <f>E15&amp;#REF!&amp;#REF!</f>
        <v>#REF!</v>
      </c>
      <c r="B15" s="8" t="str">
        <f>'내압에 의한 원주방향 응력 검토'!C6</f>
        <v>하안 송수</v>
      </c>
      <c r="C15" s="8" t="str">
        <f>'내압에 의한 원주방향 응력 검토'!D6</f>
        <v>01</v>
      </c>
      <c r="D15" s="8" t="str">
        <f>'내압에 의한 원주방향 응력 검토'!E6</f>
        <v>02</v>
      </c>
      <c r="E15" s="63" t="str">
        <f>'내압에 의한 원주방향 응력 검토'!F6</f>
        <v>21+21.93</v>
      </c>
      <c r="F15" s="62">
        <f>관로매설현황표!K5</f>
        <v>1000</v>
      </c>
      <c r="G15" s="197">
        <v>8</v>
      </c>
      <c r="H15" s="63">
        <f>관로매설현황표!M5</f>
        <v>2.6</v>
      </c>
      <c r="I15" s="61">
        <v>1800</v>
      </c>
      <c r="J15" s="14">
        <f t="shared" si="0"/>
        <v>140</v>
      </c>
      <c r="K15" s="18">
        <f t="shared" si="1"/>
        <v>1.3268821895320462</v>
      </c>
      <c r="L15" s="19">
        <f t="shared" si="2"/>
        <v>0.46800000000000003</v>
      </c>
      <c r="M15" s="19">
        <f t="shared" si="3"/>
        <v>0.33437431176207566</v>
      </c>
      <c r="N15" s="64">
        <f t="shared" si="4"/>
        <v>0.33437431176207566</v>
      </c>
      <c r="O15" s="62"/>
      <c r="P15" s="62">
        <v>2</v>
      </c>
      <c r="Q15" s="64">
        <f t="shared" si="5"/>
        <v>0.39</v>
      </c>
      <c r="R15" s="64">
        <f t="shared" si="6"/>
        <v>9.6906318082788725E-2</v>
      </c>
      <c r="S15" s="62"/>
      <c r="T15" s="62">
        <f t="shared" si="7"/>
        <v>50</v>
      </c>
      <c r="U15" s="64">
        <f t="shared" si="8"/>
        <v>4.2666666666666679E-2</v>
      </c>
      <c r="V15" s="64">
        <f t="shared" si="9"/>
        <v>0.10666666666666669</v>
      </c>
      <c r="W15" s="63">
        <f t="shared" si="10"/>
        <v>621.66478421656575</v>
      </c>
      <c r="X15" s="106">
        <f t="shared" si="11"/>
        <v>60.964800393765955</v>
      </c>
      <c r="Y15" s="63">
        <f t="shared" si="12"/>
        <v>2.2964070922196589</v>
      </c>
      <c r="Z15" s="62" t="str">
        <f t="shared" si="13"/>
        <v>OK</v>
      </c>
      <c r="AB15" s="53">
        <f t="shared" si="14"/>
        <v>0.8249240977307627</v>
      </c>
      <c r="AC15" s="57">
        <f t="shared" si="15"/>
        <v>8.2492409773076269E-3</v>
      </c>
      <c r="AD15" s="56" t="str">
        <f t="shared" si="16"/>
        <v>Ok</v>
      </c>
      <c r="AF15" s="55">
        <f t="shared" si="17"/>
        <v>2.5</v>
      </c>
      <c r="AG15" s="22">
        <f t="shared" si="18"/>
        <v>0.2525</v>
      </c>
      <c r="AH15" s="54">
        <f t="shared" si="19"/>
        <v>2.8475325459070704</v>
      </c>
      <c r="AI15" s="54">
        <f t="shared" si="20"/>
        <v>0.43128062984486437</v>
      </c>
      <c r="AJ15" s="56" t="str">
        <f t="shared" si="21"/>
        <v>ok</v>
      </c>
    </row>
    <row r="16" spans="1:36" ht="20.100000000000001" customHeight="1">
      <c r="A16" s="9" t="e">
        <f>E16&amp;#REF!&amp;#REF!</f>
        <v>#REF!</v>
      </c>
      <c r="B16" s="8" t="str">
        <f>'내압에 의한 원주방향 응력 검토'!C7</f>
        <v>하안 송수</v>
      </c>
      <c r="C16" s="8" t="str">
        <f>'내압에 의한 원주방향 응력 검토'!D7</f>
        <v>01</v>
      </c>
      <c r="D16" s="8" t="str">
        <f>'내압에 의한 원주방향 응력 검토'!E7</f>
        <v>03</v>
      </c>
      <c r="E16" s="63" t="str">
        <f>'내압에 의한 원주방향 응력 검토'!F7</f>
        <v>25+30.81</v>
      </c>
      <c r="F16" s="62">
        <f>관로매설현황표!K6</f>
        <v>1000</v>
      </c>
      <c r="G16" s="197">
        <v>8</v>
      </c>
      <c r="H16" s="63">
        <f>관로매설현황표!M6</f>
        <v>2.2999999500000001</v>
      </c>
      <c r="I16" s="61">
        <v>1800</v>
      </c>
      <c r="J16" s="14">
        <f t="shared" si="0"/>
        <v>140</v>
      </c>
      <c r="K16" s="18">
        <f t="shared" si="1"/>
        <v>1.2175907000553141</v>
      </c>
      <c r="L16" s="19">
        <f t="shared" si="2"/>
        <v>0.41399999100000007</v>
      </c>
      <c r="M16" s="19">
        <f t="shared" si="3"/>
        <v>0.30683285641393915</v>
      </c>
      <c r="N16" s="64">
        <f t="shared" si="4"/>
        <v>0.30683285641393915</v>
      </c>
      <c r="O16" s="62"/>
      <c r="P16" s="62">
        <v>2</v>
      </c>
      <c r="Q16" s="64">
        <f t="shared" si="5"/>
        <v>0.42000000500000001</v>
      </c>
      <c r="R16" s="64">
        <f t="shared" si="6"/>
        <v>0.11833333744791677</v>
      </c>
      <c r="S16" s="62"/>
      <c r="T16" s="62">
        <f t="shared" si="7"/>
        <v>50</v>
      </c>
      <c r="U16" s="64">
        <f t="shared" si="8"/>
        <v>4.2666666666666679E-2</v>
      </c>
      <c r="V16" s="64">
        <f t="shared" si="9"/>
        <v>0.10666666666666669</v>
      </c>
      <c r="W16" s="63">
        <f t="shared" si="10"/>
        <v>612.85119681443666</v>
      </c>
      <c r="X16" s="106">
        <f t="shared" si="11"/>
        <v>60.100478318001358</v>
      </c>
      <c r="Y16" s="63">
        <f t="shared" si="12"/>
        <v>2.3294323758828899</v>
      </c>
      <c r="Z16" s="62" t="str">
        <f t="shared" si="13"/>
        <v>OK</v>
      </c>
      <c r="AB16" s="53">
        <f t="shared" si="14"/>
        <v>0.81322882268854702</v>
      </c>
      <c r="AC16" s="57">
        <f t="shared" si="15"/>
        <v>8.1322882268854702E-3</v>
      </c>
      <c r="AD16" s="56" t="str">
        <f t="shared" si="16"/>
        <v>Ok</v>
      </c>
      <c r="AF16" s="55">
        <f t="shared" si="17"/>
        <v>2.5</v>
      </c>
      <c r="AG16" s="22">
        <f t="shared" si="18"/>
        <v>0.2525</v>
      </c>
      <c r="AH16" s="54">
        <f t="shared" si="19"/>
        <v>2.8475325459070704</v>
      </c>
      <c r="AI16" s="54">
        <f t="shared" si="20"/>
        <v>0.42516619386185595</v>
      </c>
      <c r="AJ16" s="56" t="str">
        <f t="shared" si="21"/>
        <v>ok</v>
      </c>
    </row>
    <row r="17" spans="1:36" ht="20.100000000000001" customHeight="1">
      <c r="A17" s="9" t="e">
        <f>E17&amp;#REF!&amp;#REF!</f>
        <v>#REF!</v>
      </c>
      <c r="B17" s="8" t="str">
        <f>'내압에 의한 원주방향 응력 검토'!C8</f>
        <v>하안 송수</v>
      </c>
      <c r="C17" s="8" t="str">
        <f>'내압에 의한 원주방향 응력 검토'!D8</f>
        <v>01</v>
      </c>
      <c r="D17" s="8" t="str">
        <f>'내압에 의한 원주방향 응력 검토'!E8</f>
        <v>04</v>
      </c>
      <c r="E17" s="63" t="str">
        <f>'내압에 의한 원주방향 응력 검토'!F8</f>
        <v>33+6.86</v>
      </c>
      <c r="F17" s="62">
        <f>관로매설현황표!K7</f>
        <v>1000</v>
      </c>
      <c r="G17" s="197">
        <v>8</v>
      </c>
      <c r="H17" s="63">
        <f>관로매설현황표!M7</f>
        <v>1.7000000500000001</v>
      </c>
      <c r="I17" s="61">
        <v>1800</v>
      </c>
      <c r="J17" s="14">
        <f t="shared" si="0"/>
        <v>140</v>
      </c>
      <c r="K17" s="18">
        <f t="shared" si="1"/>
        <v>0.97001079411510915</v>
      </c>
      <c r="L17" s="19">
        <f t="shared" si="2"/>
        <v>0.30600000900000002</v>
      </c>
      <c r="M17" s="19">
        <f t="shared" si="3"/>
        <v>0.24444272011700749</v>
      </c>
      <c r="N17" s="64">
        <f t="shared" si="4"/>
        <v>0.30600000900000002</v>
      </c>
      <c r="O17" s="62"/>
      <c r="P17" s="62">
        <v>2</v>
      </c>
      <c r="Q17" s="64">
        <f t="shared" si="5"/>
        <v>0.47999999500000001</v>
      </c>
      <c r="R17" s="64">
        <f t="shared" si="6"/>
        <v>0.18793649984378966</v>
      </c>
      <c r="S17" s="62"/>
      <c r="T17" s="62">
        <f t="shared" si="7"/>
        <v>50</v>
      </c>
      <c r="U17" s="64">
        <f t="shared" si="8"/>
        <v>4.2666666666666679E-2</v>
      </c>
      <c r="V17" s="64">
        <f t="shared" si="9"/>
        <v>0.10666666666666669</v>
      </c>
      <c r="W17" s="63">
        <f t="shared" si="10"/>
        <v>711.97942114282216</v>
      </c>
      <c r="X17" s="106">
        <f t="shared" si="11"/>
        <v>69.821685893213143</v>
      </c>
      <c r="Y17" s="63">
        <f t="shared" si="12"/>
        <v>2.0051076998358237</v>
      </c>
      <c r="Z17" s="62" t="str">
        <f t="shared" si="13"/>
        <v>OK</v>
      </c>
      <c r="AB17" s="53">
        <f t="shared" si="14"/>
        <v>0.94476797866116391</v>
      </c>
      <c r="AC17" s="57">
        <f t="shared" si="15"/>
        <v>9.4476797866116392E-3</v>
      </c>
      <c r="AD17" s="56" t="str">
        <f t="shared" si="16"/>
        <v>Ok</v>
      </c>
      <c r="AF17" s="55">
        <f t="shared" si="17"/>
        <v>2.5</v>
      </c>
      <c r="AG17" s="22">
        <f t="shared" si="18"/>
        <v>0.2525</v>
      </c>
      <c r="AH17" s="54">
        <f t="shared" si="19"/>
        <v>2.8475325459070704</v>
      </c>
      <c r="AI17" s="54">
        <f t="shared" si="20"/>
        <v>0.4939365088437897</v>
      </c>
      <c r="AJ17" s="56" t="str">
        <f t="shared" si="21"/>
        <v>ok</v>
      </c>
    </row>
  </sheetData>
  <mergeCells count="21">
    <mergeCell ref="I1:W1"/>
    <mergeCell ref="I12:N12"/>
    <mergeCell ref="P12:R12"/>
    <mergeCell ref="I2:I7"/>
    <mergeCell ref="P2:P7"/>
    <mergeCell ref="I11:V11"/>
    <mergeCell ref="T2:T7"/>
    <mergeCell ref="T12:T13"/>
    <mergeCell ref="U12:U13"/>
    <mergeCell ref="V12:V13"/>
    <mergeCell ref="W11:Z12"/>
    <mergeCell ref="B11:H12"/>
    <mergeCell ref="AG2:AG7"/>
    <mergeCell ref="AF12:AG12"/>
    <mergeCell ref="W5:W6"/>
    <mergeCell ref="AC2:AC3"/>
    <mergeCell ref="AD3:AE3"/>
    <mergeCell ref="AD2:AE2"/>
    <mergeCell ref="AB2:AB3"/>
    <mergeCell ref="AC5:AD5"/>
    <mergeCell ref="B9:Z10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5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2DAF-64CC-429F-9DB8-B4743C644248}">
  <dimension ref="B1:AN14"/>
  <sheetViews>
    <sheetView view="pageBreakPreview" zoomScale="85" zoomScaleNormal="70" zoomScaleSheetLayoutView="85" workbookViewId="0">
      <selection activeCell="Y21" sqref="Y21"/>
    </sheetView>
  </sheetViews>
  <sheetFormatPr defaultRowHeight="13.5"/>
  <cols>
    <col min="1" max="1" width="8.88671875" style="9"/>
    <col min="2" max="2" width="7.109375" style="9" customWidth="1"/>
    <col min="3" max="3" width="4.33203125" style="9" customWidth="1"/>
    <col min="4" max="4" width="5.88671875" style="9" bestFit="1" customWidth="1"/>
    <col min="5" max="5" width="9" style="9" bestFit="1" customWidth="1"/>
    <col min="6" max="6" width="5.88671875" style="9" bestFit="1" customWidth="1"/>
    <col min="7" max="8" width="7" style="9" bestFit="1" customWidth="1"/>
    <col min="9" max="9" width="8.6640625" style="9" hidden="1" customWidth="1"/>
    <col min="10" max="10" width="13.109375" style="9" hidden="1" customWidth="1"/>
    <col min="11" max="11" width="8.6640625" style="9" hidden="1" customWidth="1"/>
    <col min="12" max="12" width="10.44140625" style="9" hidden="1" customWidth="1"/>
    <col min="13" max="13" width="2.77734375" style="9" hidden="1" customWidth="1"/>
    <col min="14" max="14" width="12.33203125" style="9" hidden="1" customWidth="1"/>
    <col min="15" max="15" width="8.33203125" style="9" hidden="1" customWidth="1"/>
    <col min="16" max="16" width="8.21875" style="9" hidden="1" customWidth="1"/>
    <col min="17" max="18" width="9.88671875" style="9" hidden="1" customWidth="1"/>
    <col min="19" max="19" width="9.6640625" style="9" bestFit="1" customWidth="1"/>
    <col min="20" max="20" width="3.6640625" style="9" hidden="1" customWidth="1"/>
    <col min="21" max="21" width="8.33203125" style="9" customWidth="1"/>
    <col min="22" max="22" width="9.6640625" style="9" bestFit="1" customWidth="1"/>
    <col min="23" max="23" width="13.33203125" style="9" bestFit="1" customWidth="1"/>
    <col min="24" max="24" width="3.44140625" style="9" hidden="1" customWidth="1"/>
    <col min="25" max="25" width="8.33203125" style="9" bestFit="1" customWidth="1"/>
    <col min="26" max="26" width="15.21875" style="9" bestFit="1" customWidth="1"/>
    <col min="27" max="27" width="9.5546875" style="9" bestFit="1" customWidth="1"/>
    <col min="28" max="28" width="12.44140625" style="9" hidden="1" customWidth="1"/>
    <col min="29" max="29" width="14" style="9" hidden="1" customWidth="1"/>
    <col min="30" max="30" width="8.5546875" style="9" hidden="1" customWidth="1"/>
    <col min="31" max="31" width="0" style="9" hidden="1" customWidth="1"/>
    <col min="32" max="32" width="5.44140625" style="9" bestFit="1" customWidth="1"/>
    <col min="33" max="33" width="7.88671875" style="9" bestFit="1" customWidth="1"/>
    <col min="34" max="34" width="6" style="9" bestFit="1" customWidth="1"/>
    <col min="35" max="35" width="0" style="9" hidden="1" customWidth="1"/>
    <col min="36" max="37" width="8.33203125" style="9" bestFit="1" customWidth="1"/>
    <col min="38" max="38" width="12.6640625" style="9" customWidth="1"/>
    <col min="39" max="39" width="11" style="9" customWidth="1"/>
    <col min="40" max="40" width="6" style="9" bestFit="1" customWidth="1"/>
    <col min="41" max="16384" width="8.88671875" style="9"/>
  </cols>
  <sheetData>
    <row r="1" spans="2:40" ht="13.5" customHeight="1">
      <c r="N1" s="233" t="s">
        <v>44</v>
      </c>
      <c r="O1" s="8" t="s">
        <v>48</v>
      </c>
      <c r="P1" s="22">
        <v>30</v>
      </c>
      <c r="U1" s="210" t="s">
        <v>58</v>
      </c>
      <c r="V1" s="8" t="s">
        <v>51</v>
      </c>
      <c r="W1" s="8">
        <v>9600</v>
      </c>
      <c r="Y1" s="210" t="s">
        <v>60</v>
      </c>
      <c r="Z1" s="60" t="s">
        <v>61</v>
      </c>
      <c r="AA1" s="8">
        <v>1.5</v>
      </c>
      <c r="AF1" s="215" t="s">
        <v>98</v>
      </c>
      <c r="AG1" s="214" t="s">
        <v>96</v>
      </c>
      <c r="AH1" s="214" t="s">
        <v>94</v>
      </c>
      <c r="AI1" s="214"/>
      <c r="AK1" s="210" t="s">
        <v>60</v>
      </c>
      <c r="AL1" s="8" t="s">
        <v>103</v>
      </c>
      <c r="AM1" s="8">
        <f>1</f>
        <v>1</v>
      </c>
    </row>
    <row r="2" spans="2:40">
      <c r="F2" s="9" t="s">
        <v>88</v>
      </c>
      <c r="N2" s="233"/>
      <c r="O2" s="8" t="s">
        <v>47</v>
      </c>
      <c r="P2" s="22">
        <f>(1-SIN(RADIANS(30)))/(1+SIN(RADIANS(30)))</f>
        <v>0.33333333333333331</v>
      </c>
      <c r="U2" s="233"/>
      <c r="V2" s="8" t="s">
        <v>54</v>
      </c>
      <c r="W2" s="51">
        <v>175</v>
      </c>
      <c r="Y2" s="210"/>
      <c r="Z2" s="60" t="s">
        <v>62</v>
      </c>
      <c r="AA2" s="143">
        <v>2100000</v>
      </c>
      <c r="AF2" s="216"/>
      <c r="AG2" s="214"/>
      <c r="AH2" s="214" t="s">
        <v>95</v>
      </c>
      <c r="AI2" s="214"/>
      <c r="AK2" s="210"/>
      <c r="AL2" s="8" t="s">
        <v>63</v>
      </c>
      <c r="AM2" s="50">
        <f>AA3</f>
        <v>70</v>
      </c>
    </row>
    <row r="3" spans="2:40">
      <c r="N3" s="233"/>
      <c r="O3" s="8" t="s">
        <v>49</v>
      </c>
      <c r="P3" s="22">
        <f>TAN(RADIANS(30))</f>
        <v>0.57735026918962573</v>
      </c>
      <c r="U3" s="233"/>
      <c r="V3" s="8" t="s">
        <v>53</v>
      </c>
      <c r="W3" s="8">
        <v>45</v>
      </c>
      <c r="Y3" s="210"/>
      <c r="Z3" s="60" t="s">
        <v>63</v>
      </c>
      <c r="AA3" s="50">
        <v>70</v>
      </c>
      <c r="AK3" s="210"/>
    </row>
    <row r="4" spans="2:40">
      <c r="N4" s="233"/>
      <c r="U4" s="233"/>
      <c r="V4" s="8" t="s">
        <v>55</v>
      </c>
      <c r="W4" s="51">
        <v>100</v>
      </c>
      <c r="Y4" s="210"/>
      <c r="Z4" s="60" t="s">
        <v>89</v>
      </c>
      <c r="AA4" s="8">
        <v>0.157</v>
      </c>
      <c r="AB4" s="239" t="s">
        <v>91</v>
      </c>
      <c r="AF4" s="6" t="s">
        <v>99</v>
      </c>
      <c r="AG4" s="217" t="s">
        <v>100</v>
      </c>
      <c r="AH4" s="218"/>
      <c r="AK4" s="210"/>
    </row>
    <row r="5" spans="2:40">
      <c r="N5" s="233"/>
      <c r="U5" s="233"/>
      <c r="V5" s="8" t="s">
        <v>56</v>
      </c>
      <c r="W5" s="51">
        <v>20</v>
      </c>
      <c r="Y5" s="210"/>
      <c r="Z5" s="60" t="s">
        <v>90</v>
      </c>
      <c r="AA5" s="8">
        <v>9.6000000000000002E-2</v>
      </c>
      <c r="AB5" s="239"/>
      <c r="AK5" s="210"/>
    </row>
    <row r="6" spans="2:40">
      <c r="N6" s="233"/>
      <c r="U6" s="233"/>
      <c r="V6" s="8" t="s">
        <v>57</v>
      </c>
      <c r="W6" s="51">
        <v>50</v>
      </c>
      <c r="Y6" s="210"/>
      <c r="AK6" s="210"/>
    </row>
    <row r="7" spans="2:40" ht="13.5" customHeight="1">
      <c r="B7" s="237" t="s">
        <v>172</v>
      </c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  <c r="AA7" s="237"/>
      <c r="AB7" s="237"/>
      <c r="AC7" s="237"/>
      <c r="AD7" s="237"/>
      <c r="AE7" s="237"/>
      <c r="AF7" s="237"/>
      <c r="AG7" s="237"/>
      <c r="AH7" s="237"/>
      <c r="AI7" s="237"/>
      <c r="AJ7" s="237"/>
      <c r="AK7" s="237"/>
      <c r="AL7" s="237"/>
      <c r="AM7" s="237"/>
      <c r="AN7" s="237"/>
    </row>
    <row r="8" spans="2:40" ht="14.25" customHeight="1"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  <c r="AA8" s="237"/>
      <c r="AB8" s="237"/>
      <c r="AC8" s="237"/>
      <c r="AD8" s="237"/>
      <c r="AE8" s="237"/>
      <c r="AF8" s="237"/>
      <c r="AG8" s="237"/>
      <c r="AH8" s="237"/>
      <c r="AI8" s="237"/>
      <c r="AJ8" s="237"/>
      <c r="AK8" s="237"/>
      <c r="AL8" s="237"/>
      <c r="AM8" s="237"/>
      <c r="AN8" s="237"/>
    </row>
    <row r="9" spans="2:40" ht="27" customHeight="1">
      <c r="B9" s="236" t="s">
        <v>161</v>
      </c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180"/>
      <c r="N9" s="238" t="s">
        <v>42</v>
      </c>
      <c r="O9" s="238"/>
      <c r="P9" s="238"/>
      <c r="Q9" s="238"/>
      <c r="R9" s="238"/>
      <c r="S9" s="238"/>
      <c r="T9" s="180"/>
      <c r="U9" s="238" t="s">
        <v>50</v>
      </c>
      <c r="V9" s="238"/>
      <c r="W9" s="238"/>
      <c r="X9" s="180"/>
      <c r="Y9" s="238" t="s">
        <v>59</v>
      </c>
      <c r="Z9" s="238"/>
      <c r="AA9" s="238"/>
      <c r="AB9" s="238"/>
      <c r="AC9" s="238"/>
      <c r="AD9" s="238"/>
      <c r="AE9" s="180"/>
      <c r="AF9" s="238" t="s">
        <v>99</v>
      </c>
      <c r="AG9" s="238"/>
      <c r="AH9" s="238"/>
      <c r="AI9" s="180"/>
      <c r="AJ9" s="238" t="s">
        <v>143</v>
      </c>
      <c r="AK9" s="238"/>
      <c r="AL9" s="238"/>
      <c r="AM9" s="238"/>
      <c r="AN9" s="238"/>
    </row>
    <row r="10" spans="2:40" ht="33">
      <c r="B10" s="175" t="s">
        <v>209</v>
      </c>
      <c r="C10" s="175" t="s">
        <v>211</v>
      </c>
      <c r="D10" s="175" t="s">
        <v>212</v>
      </c>
      <c r="E10" s="190" t="s">
        <v>146</v>
      </c>
      <c r="F10" s="145" t="s">
        <v>148</v>
      </c>
      <c r="G10" s="145" t="s">
        <v>147</v>
      </c>
      <c r="H10" s="145" t="s">
        <v>149</v>
      </c>
      <c r="I10" s="145" t="s">
        <v>150</v>
      </c>
      <c r="J10" s="145" t="s">
        <v>151</v>
      </c>
      <c r="K10" s="145" t="s">
        <v>152</v>
      </c>
      <c r="L10" s="145" t="s">
        <v>153</v>
      </c>
      <c r="M10" s="180"/>
      <c r="N10" s="145" t="s">
        <v>45</v>
      </c>
      <c r="O10" s="145" t="s">
        <v>160</v>
      </c>
      <c r="P10" s="145" t="s">
        <v>46</v>
      </c>
      <c r="Q10" s="145" t="s">
        <v>158</v>
      </c>
      <c r="R10" s="145" t="s">
        <v>159</v>
      </c>
      <c r="S10" s="145" t="s">
        <v>165</v>
      </c>
      <c r="T10" s="180"/>
      <c r="U10" s="145" t="s">
        <v>169</v>
      </c>
      <c r="V10" s="145" t="s">
        <v>52</v>
      </c>
      <c r="W10" s="145" t="s">
        <v>166</v>
      </c>
      <c r="X10" s="180"/>
      <c r="Y10" s="145" t="s">
        <v>97</v>
      </c>
      <c r="Z10" s="145" t="s">
        <v>163</v>
      </c>
      <c r="AA10" s="145" t="s">
        <v>164</v>
      </c>
      <c r="AB10" s="145" t="s">
        <v>167</v>
      </c>
      <c r="AC10" s="145" t="s">
        <v>92</v>
      </c>
      <c r="AD10" s="145" t="s">
        <v>162</v>
      </c>
      <c r="AE10" s="180"/>
      <c r="AF10" s="145" t="s">
        <v>108</v>
      </c>
      <c r="AG10" s="145" t="s">
        <v>101</v>
      </c>
      <c r="AH10" s="145" t="s">
        <v>162</v>
      </c>
      <c r="AI10" s="180"/>
      <c r="AJ10" s="145" t="s">
        <v>102</v>
      </c>
      <c r="AK10" s="145" t="s">
        <v>104</v>
      </c>
      <c r="AL10" s="145" t="s">
        <v>170</v>
      </c>
      <c r="AM10" s="145" t="s">
        <v>171</v>
      </c>
      <c r="AN10" s="145" t="s">
        <v>162</v>
      </c>
    </row>
    <row r="11" spans="2:40" ht="21.95" customHeight="1">
      <c r="B11" s="8" t="str">
        <f>'내압에 의한 원주방향 응력 검토'!C5</f>
        <v>하안 송수</v>
      </c>
      <c r="C11" s="8" t="str">
        <f>'내압에 의한 원주방향 응력 검토'!D5</f>
        <v>01</v>
      </c>
      <c r="D11" s="8" t="str">
        <f>'내압에 의한 원주방향 응력 검토'!E5</f>
        <v>01</v>
      </c>
      <c r="E11" s="8" t="str">
        <f>'내압에 의한 원주방향 응력 검토'!F5</f>
        <v>18+22.78</v>
      </c>
      <c r="F11" s="62">
        <f>관로매설현황표!K4</f>
        <v>1000</v>
      </c>
      <c r="G11" s="62">
        <f>'내압에 의한 원주방향 응력 검토'!H5</f>
        <v>8</v>
      </c>
      <c r="H11" s="63">
        <f>관로매설현황표!M4</f>
        <v>4</v>
      </c>
      <c r="I11" s="63" t="e">
        <f>'2. 안전성 검토_계산조건'!J4</f>
        <v>#REF!</v>
      </c>
      <c r="J11" s="63" t="e">
        <f>'2. 안전성 검토_계산조건'!K4</f>
        <v>#REF!</v>
      </c>
      <c r="K11" s="63" t="e">
        <f>'2. 안전성 검토_계산조건'!L4</f>
        <v>#REF!</v>
      </c>
      <c r="L11" s="63" t="e">
        <f>'2. 안전성 검토_계산조건'!M4</f>
        <v>#REF!</v>
      </c>
      <c r="M11" s="62"/>
      <c r="N11" s="61">
        <v>1800</v>
      </c>
      <c r="O11" s="14">
        <f t="shared" ref="O11:O14" si="0">F11/10+40</f>
        <v>140</v>
      </c>
      <c r="P11" s="18">
        <f t="shared" ref="P11:P14" si="1">(1-EXP(-2*$P$2*$P$3*$H11/($O11/100)))/(2*$P$2*P$3)</f>
        <v>1.7330050829078707</v>
      </c>
      <c r="Q11" s="19">
        <f t="shared" ref="Q11:Q14" si="2">H11*N11/100^2</f>
        <v>0.72</v>
      </c>
      <c r="R11" s="19">
        <f t="shared" ref="R11:R14" si="3">$P11*0.0018*O11</f>
        <v>0.43671728089278339</v>
      </c>
      <c r="S11" s="64">
        <f t="shared" ref="S11:S14" si="4">IF(H11&gt;2,R11,Q11)</f>
        <v>0.43671728089278339</v>
      </c>
      <c r="T11" s="62"/>
      <c r="U11" s="62">
        <f>'외압에 의한 원주방향 응력 검토'!P14</f>
        <v>8</v>
      </c>
      <c r="V11" s="64">
        <f t="shared" ref="V11:V14" si="5">IF(H11&gt;6.5,0.5,IF(H11&gt;1.5,0.65-0.1*H11,IF(H11&gt;=0,0.5)))</f>
        <v>0.25</v>
      </c>
      <c r="W11" s="64">
        <f t="shared" ref="W11:W14" si="6">(2*U11*$W$1*(1+V11))/((U11*$W$2+(U11-1)*$W$4+$W$6+2*(H11*100)*TAN($W$3*PI()/180))*($W$5+2*(H11*100)*TAN($W$3*PI()/180)))</f>
        <v>7.9371641174038873E-2</v>
      </c>
      <c r="X11" s="62"/>
      <c r="Y11" s="62">
        <f t="shared" ref="Y11:Y14" si="7">F11/2*0.1</f>
        <v>50</v>
      </c>
      <c r="Z11" s="64">
        <f t="shared" ref="Z11:Z14" si="8">(G11/10)^3/12</f>
        <v>4.2666666666666679E-2</v>
      </c>
      <c r="AA11" s="64">
        <f t="shared" ref="AA11:AA14" si="9">(G11/10)^2/6</f>
        <v>0.10666666666666669</v>
      </c>
      <c r="AB11" s="64">
        <f t="shared" ref="AB11:AB14" si="10">(2/($AA$1*AA11))*(S11+W11)*($AA$4*Y11^2*$AA$2*Z11+(0.06146*$AA$4-0.08303*$AA$5)*$AA$3*Y11^5)/($AA$2*Z11+0.061*$AA$3*Y11^3)</f>
        <v>743.91077681517504</v>
      </c>
      <c r="AC11" s="106">
        <f t="shared" ref="AC11:AC14" si="11">AB11*0.098067</f>
        <v>72.953098149933766</v>
      </c>
      <c r="AD11" s="62" t="str">
        <f t="shared" ref="AD11:AD14" si="12">IF(AC11&gt;140,"NG","OK")</f>
        <v>OK</v>
      </c>
      <c r="AE11" s="62"/>
      <c r="AF11" s="63">
        <f t="shared" ref="AF11:AF14" si="13">(2*$AA$5*(S11+W11)*(Y11^4))/($AA$2*Z11+0.06146*$AA$3*Y11^3)</f>
        <v>0.98713959988872158</v>
      </c>
      <c r="AG11" s="108">
        <f t="shared" ref="AG11:AG14" si="14">AF11/(F11/10)</f>
        <v>9.8713959988872158E-3</v>
      </c>
      <c r="AH11" s="62" t="str">
        <f t="shared" ref="AH11:AH14" si="15">IF(AG11&lt;0.05,"Ok","NG")</f>
        <v>Ok</v>
      </c>
      <c r="AI11" s="62"/>
      <c r="AJ11" s="106">
        <f t="shared" ref="AJ11:AJ14" si="16">IF(H11&gt;(F11/1000),2.5,3)</f>
        <v>2.5</v>
      </c>
      <c r="AK11" s="64">
        <f t="shared" ref="AK11:AK14" si="17">0.15+0.041*(AJ11)</f>
        <v>0.2525</v>
      </c>
      <c r="AL11" s="64">
        <f t="shared" ref="AL11:AL14" si="18">(1/AJ11)*((32*$AM$1*AK11*$AM$2*$AA$2*Z11/(F11/10)^3)^0.5)</f>
        <v>2.8475325459070704</v>
      </c>
      <c r="AM11" s="64">
        <f t="shared" ref="AM11:AM14" si="19">S11+W11</f>
        <v>0.51608892206682222</v>
      </c>
      <c r="AN11" s="62" t="str">
        <f t="shared" ref="AN11:AN14" si="20">IF(AL11&gt;AM11,"ok","NG")</f>
        <v>ok</v>
      </c>
    </row>
    <row r="12" spans="2:40" ht="21.95" customHeight="1">
      <c r="B12" s="8" t="str">
        <f>'내압에 의한 원주방향 응력 검토'!C6</f>
        <v>하안 송수</v>
      </c>
      <c r="C12" s="8" t="str">
        <f>'내압에 의한 원주방향 응력 검토'!D6</f>
        <v>01</v>
      </c>
      <c r="D12" s="8" t="str">
        <f>'내압에 의한 원주방향 응력 검토'!E6</f>
        <v>02</v>
      </c>
      <c r="E12" s="8" t="str">
        <f>'내압에 의한 원주방향 응력 검토'!F6</f>
        <v>21+21.93</v>
      </c>
      <c r="F12" s="62">
        <f>관로매설현황표!K5</f>
        <v>1000</v>
      </c>
      <c r="G12" s="62">
        <f>'내압에 의한 원주방향 응력 검토'!H6</f>
        <v>8</v>
      </c>
      <c r="H12" s="63">
        <f>관로매설현황표!M5</f>
        <v>2.6</v>
      </c>
      <c r="I12" s="63" t="e">
        <f>'2. 안전성 검토_계산조건'!J5</f>
        <v>#REF!</v>
      </c>
      <c r="J12" s="63" t="e">
        <f>'2. 안전성 검토_계산조건'!K5</f>
        <v>#REF!</v>
      </c>
      <c r="K12" s="63" t="e">
        <f>'2. 안전성 검토_계산조건'!L5</f>
        <v>#REF!</v>
      </c>
      <c r="L12" s="63" t="e">
        <f>'2. 안전성 검토_계산조건'!M5</f>
        <v>#REF!</v>
      </c>
      <c r="M12" s="62"/>
      <c r="N12" s="61">
        <v>1800</v>
      </c>
      <c r="O12" s="14">
        <f t="shared" si="0"/>
        <v>140</v>
      </c>
      <c r="P12" s="18">
        <f t="shared" si="1"/>
        <v>1.3268821895320462</v>
      </c>
      <c r="Q12" s="19">
        <f t="shared" si="2"/>
        <v>0.46800000000000003</v>
      </c>
      <c r="R12" s="19">
        <f t="shared" si="3"/>
        <v>0.33437431176207566</v>
      </c>
      <c r="S12" s="64">
        <f t="shared" si="4"/>
        <v>0.33437431176207566</v>
      </c>
      <c r="T12" s="62"/>
      <c r="U12" s="62">
        <f>'외압에 의한 원주방향 응력 검토'!P15</f>
        <v>2</v>
      </c>
      <c r="V12" s="64">
        <f t="shared" si="5"/>
        <v>0.39</v>
      </c>
      <c r="W12" s="64">
        <f t="shared" si="6"/>
        <v>9.6906318082788725E-2</v>
      </c>
      <c r="X12" s="62"/>
      <c r="Y12" s="62">
        <f t="shared" si="7"/>
        <v>50</v>
      </c>
      <c r="Z12" s="64">
        <f t="shared" si="8"/>
        <v>4.2666666666666679E-2</v>
      </c>
      <c r="AA12" s="64">
        <f t="shared" si="9"/>
        <v>0.10666666666666669</v>
      </c>
      <c r="AB12" s="64">
        <f t="shared" si="10"/>
        <v>621.66478421656575</v>
      </c>
      <c r="AC12" s="106">
        <f t="shared" si="11"/>
        <v>60.964800393765955</v>
      </c>
      <c r="AD12" s="62" t="str">
        <f t="shared" si="12"/>
        <v>OK</v>
      </c>
      <c r="AE12" s="62"/>
      <c r="AF12" s="63">
        <f t="shared" si="13"/>
        <v>0.8249240977307627</v>
      </c>
      <c r="AG12" s="108">
        <f t="shared" si="14"/>
        <v>8.2492409773076269E-3</v>
      </c>
      <c r="AH12" s="62" t="str">
        <f t="shared" si="15"/>
        <v>Ok</v>
      </c>
      <c r="AI12" s="62"/>
      <c r="AJ12" s="106">
        <f t="shared" si="16"/>
        <v>2.5</v>
      </c>
      <c r="AK12" s="64">
        <f t="shared" si="17"/>
        <v>0.2525</v>
      </c>
      <c r="AL12" s="64">
        <f t="shared" si="18"/>
        <v>2.8475325459070704</v>
      </c>
      <c r="AM12" s="64">
        <f t="shared" si="19"/>
        <v>0.43128062984486437</v>
      </c>
      <c r="AN12" s="62" t="str">
        <f t="shared" si="20"/>
        <v>ok</v>
      </c>
    </row>
    <row r="13" spans="2:40" ht="21.95" customHeight="1">
      <c r="B13" s="8" t="str">
        <f>'내압에 의한 원주방향 응력 검토'!C7</f>
        <v>하안 송수</v>
      </c>
      <c r="C13" s="8" t="str">
        <f>'내압에 의한 원주방향 응력 검토'!D7</f>
        <v>01</v>
      </c>
      <c r="D13" s="8" t="str">
        <f>'내압에 의한 원주방향 응력 검토'!E7</f>
        <v>03</v>
      </c>
      <c r="E13" s="8" t="str">
        <f>'내압에 의한 원주방향 응력 검토'!F7</f>
        <v>25+30.81</v>
      </c>
      <c r="F13" s="62">
        <f>관로매설현황표!K6</f>
        <v>1000</v>
      </c>
      <c r="G13" s="62">
        <f>'내압에 의한 원주방향 응력 검토'!H7</f>
        <v>8</v>
      </c>
      <c r="H13" s="63">
        <f>관로매설현황표!M6</f>
        <v>2.2999999500000001</v>
      </c>
      <c r="I13" s="63" t="e">
        <f>'2. 안전성 검토_계산조건'!J6</f>
        <v>#REF!</v>
      </c>
      <c r="J13" s="63" t="e">
        <f>'2. 안전성 검토_계산조건'!K6</f>
        <v>#REF!</v>
      </c>
      <c r="K13" s="63" t="e">
        <f>'2. 안전성 검토_계산조건'!L6</f>
        <v>#REF!</v>
      </c>
      <c r="L13" s="63" t="e">
        <f>'2. 안전성 검토_계산조건'!M6</f>
        <v>#REF!</v>
      </c>
      <c r="M13" s="62"/>
      <c r="N13" s="61">
        <v>1800</v>
      </c>
      <c r="O13" s="14">
        <f t="shared" si="0"/>
        <v>140</v>
      </c>
      <c r="P13" s="18">
        <f t="shared" si="1"/>
        <v>1.2175907000553141</v>
      </c>
      <c r="Q13" s="19">
        <f t="shared" si="2"/>
        <v>0.41399999100000007</v>
      </c>
      <c r="R13" s="19">
        <f t="shared" si="3"/>
        <v>0.30683285641393915</v>
      </c>
      <c r="S13" s="64">
        <f t="shared" si="4"/>
        <v>0.30683285641393915</v>
      </c>
      <c r="T13" s="62"/>
      <c r="U13" s="62">
        <f>'외압에 의한 원주방향 응력 검토'!P16</f>
        <v>2</v>
      </c>
      <c r="V13" s="64">
        <f t="shared" si="5"/>
        <v>0.42000000500000001</v>
      </c>
      <c r="W13" s="64">
        <f t="shared" si="6"/>
        <v>0.11833333744791677</v>
      </c>
      <c r="X13" s="62"/>
      <c r="Y13" s="62">
        <f t="shared" si="7"/>
        <v>50</v>
      </c>
      <c r="Z13" s="64">
        <f t="shared" si="8"/>
        <v>4.2666666666666679E-2</v>
      </c>
      <c r="AA13" s="64">
        <f t="shared" si="9"/>
        <v>0.10666666666666669</v>
      </c>
      <c r="AB13" s="64">
        <f t="shared" si="10"/>
        <v>612.85119681443666</v>
      </c>
      <c r="AC13" s="106">
        <f t="shared" si="11"/>
        <v>60.100478318001358</v>
      </c>
      <c r="AD13" s="62" t="str">
        <f t="shared" si="12"/>
        <v>OK</v>
      </c>
      <c r="AE13" s="62"/>
      <c r="AF13" s="63">
        <f t="shared" si="13"/>
        <v>0.81322882268854702</v>
      </c>
      <c r="AG13" s="108">
        <f t="shared" si="14"/>
        <v>8.1322882268854702E-3</v>
      </c>
      <c r="AH13" s="62" t="str">
        <f t="shared" si="15"/>
        <v>Ok</v>
      </c>
      <c r="AI13" s="62"/>
      <c r="AJ13" s="106">
        <f t="shared" si="16"/>
        <v>2.5</v>
      </c>
      <c r="AK13" s="64">
        <f t="shared" si="17"/>
        <v>0.2525</v>
      </c>
      <c r="AL13" s="64">
        <f t="shared" si="18"/>
        <v>2.8475325459070704</v>
      </c>
      <c r="AM13" s="64">
        <f t="shared" si="19"/>
        <v>0.42516619386185595</v>
      </c>
      <c r="AN13" s="62" t="str">
        <f t="shared" si="20"/>
        <v>ok</v>
      </c>
    </row>
    <row r="14" spans="2:40" ht="21.95" customHeight="1">
      <c r="B14" s="8" t="str">
        <f>'내압에 의한 원주방향 응력 검토'!C8</f>
        <v>하안 송수</v>
      </c>
      <c r="C14" s="8" t="str">
        <f>'내압에 의한 원주방향 응력 검토'!D8</f>
        <v>01</v>
      </c>
      <c r="D14" s="8" t="str">
        <f>'내압에 의한 원주방향 응력 검토'!E8</f>
        <v>04</v>
      </c>
      <c r="E14" s="8" t="str">
        <f>'내압에 의한 원주방향 응력 검토'!F8</f>
        <v>33+6.86</v>
      </c>
      <c r="F14" s="62">
        <f>관로매설현황표!K7</f>
        <v>1000</v>
      </c>
      <c r="G14" s="62">
        <f>'내압에 의한 원주방향 응력 검토'!H8</f>
        <v>8</v>
      </c>
      <c r="H14" s="63">
        <f>관로매설현황표!M7</f>
        <v>1.7000000500000001</v>
      </c>
      <c r="I14" s="63" t="e">
        <f>'2. 안전성 검토_계산조건'!J7</f>
        <v>#REF!</v>
      </c>
      <c r="J14" s="63" t="e">
        <f>'2. 안전성 검토_계산조건'!K7</f>
        <v>#REF!</v>
      </c>
      <c r="K14" s="63" t="e">
        <f>'2. 안전성 검토_계산조건'!L7</f>
        <v>#REF!</v>
      </c>
      <c r="L14" s="63" t="e">
        <f>'2. 안전성 검토_계산조건'!M7</f>
        <v>#REF!</v>
      </c>
      <c r="M14" s="62"/>
      <c r="N14" s="61">
        <v>1800</v>
      </c>
      <c r="O14" s="14">
        <f t="shared" si="0"/>
        <v>140</v>
      </c>
      <c r="P14" s="18">
        <f t="shared" si="1"/>
        <v>0.97001079411510915</v>
      </c>
      <c r="Q14" s="19">
        <f t="shared" si="2"/>
        <v>0.30600000900000002</v>
      </c>
      <c r="R14" s="19">
        <f t="shared" si="3"/>
        <v>0.24444272011700749</v>
      </c>
      <c r="S14" s="64">
        <f t="shared" si="4"/>
        <v>0.30600000900000002</v>
      </c>
      <c r="T14" s="62"/>
      <c r="U14" s="62">
        <f>'외압에 의한 원주방향 응력 검토'!P17</f>
        <v>2</v>
      </c>
      <c r="V14" s="64">
        <f t="shared" si="5"/>
        <v>0.47999999500000001</v>
      </c>
      <c r="W14" s="64">
        <f t="shared" si="6"/>
        <v>0.18793649984378966</v>
      </c>
      <c r="X14" s="62"/>
      <c r="Y14" s="62">
        <f t="shared" si="7"/>
        <v>50</v>
      </c>
      <c r="Z14" s="64">
        <f t="shared" si="8"/>
        <v>4.2666666666666679E-2</v>
      </c>
      <c r="AA14" s="64">
        <f t="shared" si="9"/>
        <v>0.10666666666666669</v>
      </c>
      <c r="AB14" s="64">
        <f t="shared" si="10"/>
        <v>711.97942114282216</v>
      </c>
      <c r="AC14" s="106">
        <f t="shared" si="11"/>
        <v>69.821685893213143</v>
      </c>
      <c r="AD14" s="62" t="str">
        <f t="shared" si="12"/>
        <v>OK</v>
      </c>
      <c r="AE14" s="62"/>
      <c r="AF14" s="63">
        <f t="shared" si="13"/>
        <v>0.94476797866116391</v>
      </c>
      <c r="AG14" s="108">
        <f t="shared" si="14"/>
        <v>9.4476797866116392E-3</v>
      </c>
      <c r="AH14" s="62" t="str">
        <f t="shared" si="15"/>
        <v>Ok</v>
      </c>
      <c r="AI14" s="62"/>
      <c r="AJ14" s="106">
        <f t="shared" si="16"/>
        <v>2.5</v>
      </c>
      <c r="AK14" s="64">
        <f t="shared" si="17"/>
        <v>0.2525</v>
      </c>
      <c r="AL14" s="64">
        <f t="shared" si="18"/>
        <v>2.8475325459070704</v>
      </c>
      <c r="AM14" s="64">
        <f t="shared" si="19"/>
        <v>0.4939365088437897</v>
      </c>
      <c r="AN14" s="62" t="str">
        <f t="shared" si="20"/>
        <v>ok</v>
      </c>
    </row>
  </sheetData>
  <mergeCells count="17">
    <mergeCell ref="U1:U6"/>
    <mergeCell ref="Y1:Y6"/>
    <mergeCell ref="AF1:AF2"/>
    <mergeCell ref="AG1:AG2"/>
    <mergeCell ref="AH1:AI1"/>
    <mergeCell ref="B9:L9"/>
    <mergeCell ref="B7:AN8"/>
    <mergeCell ref="AF9:AH9"/>
    <mergeCell ref="AJ9:AN9"/>
    <mergeCell ref="AK1:AK6"/>
    <mergeCell ref="AH2:AI2"/>
    <mergeCell ref="AB4:AB5"/>
    <mergeCell ref="AG4:AH4"/>
    <mergeCell ref="N9:S9"/>
    <mergeCell ref="U9:W9"/>
    <mergeCell ref="Y9:AD9"/>
    <mergeCell ref="N1:N6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C556-5AA2-4AA3-909A-9E79E7769B5B}">
  <dimension ref="A1:X8"/>
  <sheetViews>
    <sheetView tabSelected="1" view="pageBreakPreview" zoomScale="85" zoomScaleNormal="85" zoomScaleSheetLayoutView="85" workbookViewId="0">
      <selection activeCell="R35" sqref="R35"/>
    </sheetView>
  </sheetViews>
  <sheetFormatPr defaultRowHeight="13.5"/>
  <cols>
    <col min="1" max="1" width="3.5546875" bestFit="1" customWidth="1"/>
    <col min="2" max="2" width="5.5546875" bestFit="1" customWidth="1"/>
    <col min="3" max="3" width="4.5546875" bestFit="1" customWidth="1"/>
    <col min="4" max="4" width="2.44140625" bestFit="1" customWidth="1"/>
    <col min="5" max="5" width="3.5546875" bestFit="1" customWidth="1"/>
    <col min="6" max="6" width="5.5546875" bestFit="1" customWidth="1"/>
    <col min="7" max="7" width="6.5546875" bestFit="1" customWidth="1"/>
    <col min="8" max="8" width="9.5546875" bestFit="1" customWidth="1"/>
    <col min="10" max="10" width="8.21875" bestFit="1" customWidth="1"/>
    <col min="11" max="12" width="4.44140625" bestFit="1" customWidth="1"/>
    <col min="13" max="13" width="11.109375" bestFit="1" customWidth="1"/>
    <col min="14" max="14" width="6.109375" bestFit="1" customWidth="1"/>
    <col min="15" max="15" width="11.21875" bestFit="1" customWidth="1"/>
    <col min="16" max="16" width="8.6640625" bestFit="1" customWidth="1"/>
    <col min="17" max="17" width="10.44140625" bestFit="1" customWidth="1"/>
    <col min="18" max="18" width="8.6640625" bestFit="1" customWidth="1"/>
    <col min="19" max="19" width="11.21875" bestFit="1" customWidth="1"/>
    <col min="20" max="20" width="8.6640625" bestFit="1" customWidth="1"/>
    <col min="21" max="22" width="13.109375" bestFit="1" customWidth="1"/>
    <col min="23" max="23" width="8.6640625" bestFit="1" customWidth="1"/>
    <col min="24" max="24" width="11.21875" bestFit="1" customWidth="1"/>
  </cols>
  <sheetData>
    <row r="1" spans="1:24" ht="18.75">
      <c r="J1" s="1"/>
      <c r="K1" s="1"/>
      <c r="L1" s="248" t="s">
        <v>183</v>
      </c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</row>
    <row r="2" spans="1:24">
      <c r="A2" s="8"/>
      <c r="B2" s="8"/>
      <c r="C2" s="240" t="s">
        <v>1</v>
      </c>
      <c r="D2" s="240"/>
      <c r="E2" s="240"/>
      <c r="F2" s="8"/>
      <c r="G2" s="8"/>
      <c r="H2" s="8"/>
      <c r="J2" s="242" t="s">
        <v>139</v>
      </c>
      <c r="K2" s="243"/>
      <c r="L2" s="244"/>
      <c r="M2" s="241" t="s">
        <v>173</v>
      </c>
      <c r="N2" s="236" t="s">
        <v>34</v>
      </c>
      <c r="O2" s="236" t="s">
        <v>140</v>
      </c>
      <c r="P2" s="236"/>
      <c r="Q2" s="236" t="s">
        <v>141</v>
      </c>
      <c r="R2" s="236"/>
      <c r="S2" s="236"/>
      <c r="T2" s="236"/>
      <c r="U2" s="236"/>
      <c r="V2" s="236"/>
      <c r="W2" s="236"/>
      <c r="X2" s="236" t="s">
        <v>144</v>
      </c>
    </row>
    <row r="3" spans="1:24">
      <c r="A3" s="8"/>
      <c r="B3" s="8"/>
      <c r="C3" s="20"/>
      <c r="D3" s="20"/>
      <c r="E3" s="20"/>
      <c r="F3" s="8"/>
      <c r="G3" s="8"/>
      <c r="H3" s="8"/>
      <c r="J3" s="245"/>
      <c r="K3" s="246"/>
      <c r="L3" s="247"/>
      <c r="M3" s="241"/>
      <c r="N3" s="236"/>
      <c r="O3" s="236"/>
      <c r="P3" s="236"/>
      <c r="Q3" s="238" t="s">
        <v>235</v>
      </c>
      <c r="R3" s="236"/>
      <c r="S3" s="236" t="s">
        <v>142</v>
      </c>
      <c r="T3" s="236"/>
      <c r="U3" s="236" t="s">
        <v>143</v>
      </c>
      <c r="V3" s="236"/>
      <c r="W3" s="236"/>
      <c r="X3" s="236"/>
    </row>
    <row r="4" spans="1:24" ht="27">
      <c r="A4" s="8"/>
      <c r="B4" s="20" t="s">
        <v>0</v>
      </c>
      <c r="C4" s="240" t="s">
        <v>36</v>
      </c>
      <c r="D4" s="240"/>
      <c r="E4" s="240"/>
      <c r="F4" s="8" t="s">
        <v>34</v>
      </c>
      <c r="G4" s="8" t="s">
        <v>35</v>
      </c>
      <c r="H4" s="3" t="s">
        <v>37</v>
      </c>
      <c r="I4" s="107"/>
      <c r="J4" s="181" t="s">
        <v>209</v>
      </c>
      <c r="K4" s="181" t="s">
        <v>211</v>
      </c>
      <c r="L4" s="181" t="s">
        <v>212</v>
      </c>
      <c r="M4" s="241"/>
      <c r="N4" s="236"/>
      <c r="O4" s="145" t="s">
        <v>174</v>
      </c>
      <c r="P4" s="145" t="s">
        <v>175</v>
      </c>
      <c r="Q4" s="145" t="s">
        <v>176</v>
      </c>
      <c r="R4" s="145" t="s">
        <v>177</v>
      </c>
      <c r="S4" s="145" t="s">
        <v>178</v>
      </c>
      <c r="T4" s="145" t="s">
        <v>179</v>
      </c>
      <c r="U4" s="145" t="s">
        <v>180</v>
      </c>
      <c r="V4" s="145" t="s">
        <v>181</v>
      </c>
      <c r="W4" s="145" t="s">
        <v>182</v>
      </c>
      <c r="X4" s="236"/>
    </row>
    <row r="5" spans="1:24" ht="20.100000000000001" customHeight="1">
      <c r="A5" s="49">
        <f>'2. 안전성 검토_계산조건'!B4</f>
        <v>2</v>
      </c>
      <c r="B5" s="49" t="str">
        <f>'2. 안전성 검토_계산조건'!C4</f>
        <v>A-01</v>
      </c>
      <c r="C5" s="49">
        <f>관로매설현황표!D4</f>
        <v>18</v>
      </c>
      <c r="D5" s="49" t="str">
        <f>관로매설현황표!E4</f>
        <v>+</v>
      </c>
      <c r="E5" s="49">
        <f>관로매설현황표!F4</f>
        <v>22.78</v>
      </c>
      <c r="F5" s="49">
        <f>관로매설현황표!K4</f>
        <v>1000</v>
      </c>
      <c r="G5" s="4">
        <f>'내압에 의한 원주방향 응력 검토'!H5</f>
        <v>8</v>
      </c>
      <c r="H5" s="4">
        <f>관로매설현황표!M4</f>
        <v>4</v>
      </c>
      <c r="J5" s="63" t="str">
        <f>관로매설현황표!A4</f>
        <v>하안 송수</v>
      </c>
      <c r="K5" s="182" t="str">
        <f>관로매설현황표!B4</f>
        <v>01</v>
      </c>
      <c r="L5" s="182" t="str">
        <f>관로매설현황표!C4</f>
        <v>01</v>
      </c>
      <c r="M5" s="182" t="str">
        <f t="shared" ref="M5:M8" si="0">_xlfn.CONCAT(C5,D5,E5)</f>
        <v>18+22.78</v>
      </c>
      <c r="N5" s="182">
        <f t="shared" ref="N5:N8" si="1">F5</f>
        <v>1000</v>
      </c>
      <c r="O5" s="63">
        <f>'내압에 의한 원주방향 응력 검토'!J5</f>
        <v>43.75</v>
      </c>
      <c r="P5" s="63">
        <f>'내압에 의한 원주방향 응력 검토'!L5</f>
        <v>3.2</v>
      </c>
      <c r="Q5" s="63">
        <f>'외압에 의한 원주방향 응력 검토'!X14</f>
        <v>72.953098149933766</v>
      </c>
      <c r="R5" s="63">
        <f t="shared" ref="R5:R8" si="2">140/Q5</f>
        <v>1.9190411860545105</v>
      </c>
      <c r="S5" s="63">
        <f>'외압에 의한 원주방향 응력 검토'!AC14</f>
        <v>9.8713959988872158E-3</v>
      </c>
      <c r="T5" s="63">
        <f t="shared" ref="T5:T8" si="3">0.05/S5</f>
        <v>5.0651397234632682</v>
      </c>
      <c r="U5" s="63">
        <f>'외압에 의한 원주방향 응력 검토'!AH14/10.19</f>
        <v>0.27944382197321593</v>
      </c>
      <c r="V5" s="64">
        <f>'외압에 의한 원주방향 응력 검토'!AI14/10.19</f>
        <v>5.0646606679766656E-2</v>
      </c>
      <c r="W5" s="63">
        <f t="shared" ref="W5:W8" si="4">U5/V5</f>
        <v>5.5175230937012385</v>
      </c>
      <c r="X5" s="63" t="s">
        <v>145</v>
      </c>
    </row>
    <row r="6" spans="1:24" ht="20.100000000000001" customHeight="1">
      <c r="A6" s="49">
        <f>'2. 안전성 검토_계산조건'!B5</f>
        <v>3</v>
      </c>
      <c r="B6" s="49" t="str">
        <f>'2. 안전성 검토_계산조건'!C5</f>
        <v>A-01</v>
      </c>
      <c r="C6" s="49">
        <f>관로매설현황표!D5</f>
        <v>21</v>
      </c>
      <c r="D6" s="49" t="str">
        <f>관로매설현황표!E5</f>
        <v>+</v>
      </c>
      <c r="E6" s="49">
        <f>관로매설현황표!F5</f>
        <v>21.93</v>
      </c>
      <c r="F6" s="49">
        <f>관로매설현황표!K5</f>
        <v>1000</v>
      </c>
      <c r="G6" s="4">
        <f>'내압에 의한 원주방향 응력 검토'!H6</f>
        <v>8</v>
      </c>
      <c r="H6" s="4">
        <f>관로매설현황표!M5</f>
        <v>2.6</v>
      </c>
      <c r="J6" s="63" t="str">
        <f>관로매설현황표!A5</f>
        <v>하안 송수</v>
      </c>
      <c r="K6" s="182" t="str">
        <f>관로매설현황표!B5</f>
        <v>01</v>
      </c>
      <c r="L6" s="182" t="str">
        <f>관로매설현황표!C5</f>
        <v>02</v>
      </c>
      <c r="M6" s="182" t="str">
        <f t="shared" si="0"/>
        <v>21+21.93</v>
      </c>
      <c r="N6" s="182">
        <f t="shared" si="1"/>
        <v>1000</v>
      </c>
      <c r="O6" s="63">
        <f>'내압에 의한 원주방향 응력 검토'!J6</f>
        <v>43.75</v>
      </c>
      <c r="P6" s="63">
        <f>'내압에 의한 원주방향 응력 검토'!L6</f>
        <v>3.2</v>
      </c>
      <c r="Q6" s="63">
        <f>'외압에 의한 원주방향 응력 검토'!X15</f>
        <v>60.964800393765955</v>
      </c>
      <c r="R6" s="63">
        <f t="shared" si="2"/>
        <v>2.2964070922196589</v>
      </c>
      <c r="S6" s="63">
        <f>'외압에 의한 원주방향 응력 검토'!AC15</f>
        <v>8.2492409773076269E-3</v>
      </c>
      <c r="T6" s="63">
        <f t="shared" si="3"/>
        <v>6.0611637043386404</v>
      </c>
      <c r="U6" s="63">
        <f>'외압에 의한 원주방향 응력 검토'!AH15/10.19</f>
        <v>0.27944382197321593</v>
      </c>
      <c r="V6" s="64">
        <f>'외압에 의한 원주방향 응력 검토'!AI15/10.19</f>
        <v>4.2323908718828691E-2</v>
      </c>
      <c r="W6" s="63">
        <f t="shared" si="4"/>
        <v>6.6025050717704481</v>
      </c>
      <c r="X6" s="63" t="s">
        <v>145</v>
      </c>
    </row>
    <row r="7" spans="1:24" ht="20.100000000000001" customHeight="1">
      <c r="A7" s="49">
        <f>'2. 안전성 검토_계산조건'!B6</f>
        <v>4</v>
      </c>
      <c r="B7" s="49" t="str">
        <f>'2. 안전성 검토_계산조건'!C6</f>
        <v>A-02</v>
      </c>
      <c r="C7" s="49">
        <f>관로매설현황표!D6</f>
        <v>25</v>
      </c>
      <c r="D7" s="49" t="str">
        <f>관로매설현황표!E6</f>
        <v>+</v>
      </c>
      <c r="E7" s="49">
        <f>관로매설현황표!F6</f>
        <v>30.81</v>
      </c>
      <c r="F7" s="49">
        <f>관로매설현황표!K6</f>
        <v>1000</v>
      </c>
      <c r="G7" s="4">
        <f>'내압에 의한 원주방향 응력 검토'!H7</f>
        <v>8</v>
      </c>
      <c r="H7" s="4">
        <f>관로매설현황표!M6</f>
        <v>2.2999999500000001</v>
      </c>
      <c r="J7" s="63" t="str">
        <f>관로매설현황표!A6</f>
        <v>하안 송수</v>
      </c>
      <c r="K7" s="182" t="str">
        <f>관로매설현황표!B6</f>
        <v>01</v>
      </c>
      <c r="L7" s="182" t="str">
        <f>관로매설현황표!C6</f>
        <v>03</v>
      </c>
      <c r="M7" s="182" t="str">
        <f t="shared" si="0"/>
        <v>25+30.81</v>
      </c>
      <c r="N7" s="182">
        <f t="shared" si="1"/>
        <v>1000</v>
      </c>
      <c r="O7" s="63">
        <f>'내압에 의한 원주방향 응력 검토'!J7</f>
        <v>43.75</v>
      </c>
      <c r="P7" s="63">
        <f>'내압에 의한 원주방향 응력 검토'!L7</f>
        <v>3.2</v>
      </c>
      <c r="Q7" s="63">
        <f>'외압에 의한 원주방향 응력 검토'!X16</f>
        <v>60.100478318001358</v>
      </c>
      <c r="R7" s="63">
        <f t="shared" si="2"/>
        <v>2.3294323758828899</v>
      </c>
      <c r="S7" s="63">
        <f>'외압에 의한 원주방향 응력 검토'!AC16</f>
        <v>8.1322882268854702E-3</v>
      </c>
      <c r="T7" s="63">
        <f t="shared" si="3"/>
        <v>6.148331023819253</v>
      </c>
      <c r="U7" s="63">
        <f>'외압에 의한 원주방향 응력 검토'!AH16/10.19</f>
        <v>0.27944382197321593</v>
      </c>
      <c r="V7" s="64">
        <f>'외압에 의한 원주방향 응력 검토'!AI16/10.19</f>
        <v>4.1723865933450045E-2</v>
      </c>
      <c r="W7" s="63">
        <f t="shared" si="4"/>
        <v>6.6974575754540924</v>
      </c>
      <c r="X7" s="63" t="s">
        <v>145</v>
      </c>
    </row>
    <row r="8" spans="1:24" ht="20.100000000000001" customHeight="1">
      <c r="A8" s="49">
        <f>'2. 안전성 검토_계산조건'!B7</f>
        <v>5</v>
      </c>
      <c r="B8" s="49" t="str">
        <f>'2. 안전성 검토_계산조건'!C7</f>
        <v>A-02</v>
      </c>
      <c r="C8" s="49">
        <f>관로매설현황표!D7</f>
        <v>33</v>
      </c>
      <c r="D8" s="49" t="str">
        <f>관로매설현황표!E7</f>
        <v>+</v>
      </c>
      <c r="E8" s="49">
        <f>관로매설현황표!F7</f>
        <v>6.86</v>
      </c>
      <c r="F8" s="49">
        <f>관로매설현황표!K7</f>
        <v>1000</v>
      </c>
      <c r="G8" s="4">
        <f>'내압에 의한 원주방향 응력 검토'!H8</f>
        <v>8</v>
      </c>
      <c r="H8" s="4">
        <f>관로매설현황표!M7</f>
        <v>1.7000000500000001</v>
      </c>
      <c r="J8" s="63" t="str">
        <f>관로매설현황표!A7</f>
        <v>하안 송수</v>
      </c>
      <c r="K8" s="182" t="str">
        <f>관로매설현황표!B7</f>
        <v>01</v>
      </c>
      <c r="L8" s="182" t="str">
        <f>관로매설현황표!C7</f>
        <v>04</v>
      </c>
      <c r="M8" s="182" t="str">
        <f t="shared" si="0"/>
        <v>33+6.86</v>
      </c>
      <c r="N8" s="182">
        <f t="shared" si="1"/>
        <v>1000</v>
      </c>
      <c r="O8" s="63">
        <f>'내압에 의한 원주방향 응력 검토'!J8</f>
        <v>43.75</v>
      </c>
      <c r="P8" s="63">
        <f>'내압에 의한 원주방향 응력 검토'!L8</f>
        <v>3.2</v>
      </c>
      <c r="Q8" s="63">
        <f>'외압에 의한 원주방향 응력 검토'!X17</f>
        <v>69.821685893213143</v>
      </c>
      <c r="R8" s="63">
        <f t="shared" si="2"/>
        <v>2.0051076998358237</v>
      </c>
      <c r="S8" s="63">
        <f>'외압에 의한 원주방향 응력 검토'!AC17</f>
        <v>9.4476797866116392E-3</v>
      </c>
      <c r="T8" s="63">
        <f t="shared" si="3"/>
        <v>5.292304685310703</v>
      </c>
      <c r="U8" s="63">
        <f>'외압에 의한 원주방향 응력 검토'!AH17/10.19</f>
        <v>0.27944382197321593</v>
      </c>
      <c r="V8" s="64">
        <f>'외압에 의한 원주방향 응력 검토'!AI17/10.19</f>
        <v>4.847267015150046E-2</v>
      </c>
      <c r="W8" s="63">
        <f t="shared" si="4"/>
        <v>5.7649768642787631</v>
      </c>
      <c r="X8" s="63" t="s">
        <v>145</v>
      </c>
    </row>
  </sheetData>
  <mergeCells count="12">
    <mergeCell ref="L1:X1"/>
    <mergeCell ref="Q3:R3"/>
    <mergeCell ref="S3:T3"/>
    <mergeCell ref="U3:W3"/>
    <mergeCell ref="X2:X4"/>
    <mergeCell ref="C2:E2"/>
    <mergeCell ref="C4:E4"/>
    <mergeCell ref="Q2:W2"/>
    <mergeCell ref="O2:P3"/>
    <mergeCell ref="N2:N4"/>
    <mergeCell ref="M2:M4"/>
    <mergeCell ref="J2:L3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14</vt:i4>
      </vt:variant>
    </vt:vector>
  </HeadingPairs>
  <TitlesOfParts>
    <vt:vector size="22" baseType="lpstr">
      <vt:lpstr>&gt;</vt:lpstr>
      <vt:lpstr>2. 안전성 검토_계산조건</vt:lpstr>
      <vt:lpstr>3. 최소 관두께 만족 여부</vt:lpstr>
      <vt:lpstr>관로매설현황표</vt:lpstr>
      <vt:lpstr>내압에 의한 원주방향 응력 검토</vt:lpstr>
      <vt:lpstr>외압에 의한 원주방향 응력 검토</vt:lpstr>
      <vt:lpstr>변형율, 좌굴하중 검토</vt:lpstr>
      <vt:lpstr>◆내외압에 의한 응력 안전율 결과 정리</vt:lpstr>
      <vt:lpstr>'◆내외압에 의한 응력 안전율 결과 정리'!Print_Area</vt:lpstr>
      <vt:lpstr>'2. 안전성 검토_계산조건'!Print_Area</vt:lpstr>
      <vt:lpstr>'3. 최소 관두께 만족 여부'!Print_Area</vt:lpstr>
      <vt:lpstr>관로매설현황표!Print_Area</vt:lpstr>
      <vt:lpstr>'내압에 의한 원주방향 응력 검토'!Print_Area</vt:lpstr>
      <vt:lpstr>'변형율, 좌굴하중 검토'!Print_Area</vt:lpstr>
      <vt:lpstr>'외압에 의한 원주방향 응력 검토'!Print_Area</vt:lpstr>
      <vt:lpstr>'◆내외압에 의한 응력 안전율 결과 정리'!Print_Titles</vt:lpstr>
      <vt:lpstr>'2. 안전성 검토_계산조건'!Print_Titles</vt:lpstr>
      <vt:lpstr>'3. 최소 관두께 만족 여부'!Print_Titles</vt:lpstr>
      <vt:lpstr>관로매설현황표!Print_Titles</vt:lpstr>
      <vt:lpstr>'내압에 의한 원주방향 응력 검토'!Print_Titles</vt:lpstr>
      <vt:lpstr>'변형율, 좌굴하중 검토'!Print_Titles</vt:lpstr>
      <vt:lpstr>'외압에 의한 원주방향 응력 검토'!Print_Titles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@@@@</dc:creator>
  <cp:lastModifiedBy>강 희창</cp:lastModifiedBy>
  <cp:lastPrinted>2022-12-16T05:35:08Z</cp:lastPrinted>
  <dcterms:created xsi:type="dcterms:W3CDTF">2022-06-13T02:19:14Z</dcterms:created>
  <dcterms:modified xsi:type="dcterms:W3CDTF">2025-01-14T08:43:04Z</dcterms:modified>
</cp:coreProperties>
</file>